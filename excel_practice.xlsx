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pat\Desktop\test\"/>
    </mc:Choice>
  </mc:AlternateContent>
  <xr:revisionPtr revIDLastSave="0" documentId="13_ncr:1_{DD24A4F2-E8FE-424C-B267-9DBC1ED3A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คำชี้แจง" sheetId="1" r:id="rId1"/>
    <sheet name="สมาชิก" sheetId="2" r:id="rId2"/>
    <sheet name="เงินฝาก" sheetId="3" r:id="rId3"/>
    <sheet name="เงินกู้" sheetId="4" r:id="rId4"/>
    <sheet name="แบบฝึกหัด" sheetId="5" r:id="rId5"/>
    <sheet name="เฉลย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6" l="1"/>
  <c r="E33" i="6" s="1"/>
  <c r="D29" i="6"/>
  <c r="C29" i="6"/>
  <c r="E29" i="6" s="1"/>
  <c r="D28" i="6"/>
  <c r="C28" i="6"/>
  <c r="E28" i="6" s="1"/>
  <c r="D27" i="6"/>
  <c r="C27" i="6"/>
  <c r="E27" i="6" s="1"/>
  <c r="D26" i="6"/>
  <c r="C26" i="6"/>
  <c r="D25" i="6"/>
  <c r="C25" i="6"/>
  <c r="E25" i="6" s="1"/>
  <c r="D24" i="6"/>
  <c r="C24" i="6"/>
  <c r="F13" i="6"/>
  <c r="E13" i="6"/>
  <c r="E12" i="6"/>
  <c r="E11" i="6"/>
  <c r="E10" i="6"/>
  <c r="E9" i="6"/>
  <c r="E8" i="6"/>
  <c r="E7" i="6"/>
  <c r="E6" i="6"/>
  <c r="E5" i="6"/>
  <c r="E4" i="6"/>
  <c r="E14" i="6" s="1"/>
  <c r="E3" i="6"/>
  <c r="C30" i="6" l="1"/>
  <c r="D30" i="6"/>
  <c r="E26" i="6"/>
  <c r="E24" i="6"/>
  <c r="E30" i="6" s="1"/>
</calcChain>
</file>

<file path=xl/sharedStrings.xml><?xml version="1.0" encoding="utf-8"?>
<sst xmlns="http://schemas.openxmlformats.org/spreadsheetml/2006/main" count="551" uniqueCount="188">
  <si>
    <t>แบบฝึกหัด Excel — เตรียมสอบปฏิบัติ เจ้าหน้าที่สหกรณ์ (IT)</t>
  </si>
  <si>
    <t>โจทย์จำลองข้อมูลสหกรณ์ออมทรัพย์ครู: สมาชิก 40 คน / เงินฝาก 70 รายการ / เงินกู้ 25 สัญญา</t>
  </si>
  <si>
    <t>วิธีใช้:</t>
  </si>
  <si>
    <t>1. เปิดชีต 'แบบฝึกหัด' ทำโจทย์ 14 ข้อ — พิมพ์สูตรในช่องสีเหลืองเท่านั้น</t>
  </si>
  <si>
    <t>2. ห้ามพิมพ์ตัวเลขคำตอบตรง ๆ ต้องใช้สูตรอ้างอิงชีตข้อมูล (สมาชิก / เงินฝาก / เงินกู้)</t>
  </si>
  <si>
    <t>3. เสร็จแล้วเทียบกับชีต 'เฉลย' — สูตรเฉลยกดดูได้ทุกเซลล์</t>
  </si>
  <si>
    <t>4. ข้อ 13-14 (PivotTable / Sort-Filter) ทำตามขั้นตอนที่เขียนไว้ แล้วเทียบผลกับตารางเฉลย</t>
  </si>
  <si>
    <t>หัวข้อที่ครอบคลุม (ตรงขอบเขตสอบ 30 คะแนน):</t>
  </si>
  <si>
    <t>VLOOKUP · IFERROR · SUMIF · SUMIFS · COUNTIF · COUNTIFS · IF · AVERAGE/MAX/MIN · LEFT · การคูณดอกเบี้ย · PivotTable · Sort/Filter</t>
  </si>
  <si>
    <t>เคล็ดลับ: กด F4 ล็อกช่วงตาราง ($) ก่อนคัดลอกสูตร · VLOOKUP ใส่ FALSE เสมอ · ครอบ IFERROR กัน #N/A</t>
  </si>
  <si>
    <t>รหัสสมาชิก</t>
  </si>
  <si>
    <t>ชื่อ-สกุล</t>
  </si>
  <si>
    <t>โรงเรียน</t>
  </si>
  <si>
    <t>ตำแหน่ง</t>
  </si>
  <si>
    <t>เงินเดือน</t>
  </si>
  <si>
    <t>หุ้นสะสม</t>
  </si>
  <si>
    <t>NPW1001</t>
  </si>
  <si>
    <t>สมชาย ใจดี</t>
  </si>
  <si>
    <t>นครพนมวิทยาคม</t>
  </si>
  <si>
    <t>รองผู้อำนวยการ</t>
  </si>
  <si>
    <t>PYW1002</t>
  </si>
  <si>
    <t>สมหญิง ศรีสุข</t>
  </si>
  <si>
    <t>ปิยะมหาราชาลัย</t>
  </si>
  <si>
    <t>ครู</t>
  </si>
  <si>
    <t>TUK1003</t>
  </si>
  <si>
    <t>วิชัย พรมมา</t>
  </si>
  <si>
    <t>ธาตุพนม</t>
  </si>
  <si>
    <t>SKN1004</t>
  </si>
  <si>
    <t>อรพรรณ วงศ์ษา</t>
  </si>
  <si>
    <t>สหราษฎร์รังสฤษดิ์</t>
  </si>
  <si>
    <t>ครูชำนาญการ</t>
  </si>
  <si>
    <t>NKX1005</t>
  </si>
  <si>
    <t>ประเสริฐ แก้วมณี</t>
  </si>
  <si>
    <t>นาแกสามัคคีวิทยา</t>
  </si>
  <si>
    <t>BPC1006</t>
  </si>
  <si>
    <t>จินตนา บุญเรือง</t>
  </si>
  <si>
    <t>บ้านแพงพิทยาคม</t>
  </si>
  <si>
    <t>NPW1007</t>
  </si>
  <si>
    <t>ธนากร สุวรรณ</t>
  </si>
  <si>
    <t>PYW1008</t>
  </si>
  <si>
    <t>ศิริพร คำภา</t>
  </si>
  <si>
    <t>ครูชำนาญการพิเศษ</t>
  </si>
  <si>
    <t>TUK1009</t>
  </si>
  <si>
    <t>อภิชาติ อินทะวงศ์</t>
  </si>
  <si>
    <t>SKN1010</t>
  </si>
  <si>
    <t>กมลวรรณ มีชัย</t>
  </si>
  <si>
    <t>NKX1011</t>
  </si>
  <si>
    <t>ณัฐพล ราชวงศ์</t>
  </si>
  <si>
    <t>BPC1012</t>
  </si>
  <si>
    <t>สุภาพร โพธิ์ศรี</t>
  </si>
  <si>
    <t>NPW1013</t>
  </si>
  <si>
    <t>วีระ นามวงษ์</t>
  </si>
  <si>
    <t>PYW1014</t>
  </si>
  <si>
    <t>ปิยะดา ไชยะ</t>
  </si>
  <si>
    <t>TUK1015</t>
  </si>
  <si>
    <t>อนุชา สีดา</t>
  </si>
  <si>
    <t>SKN1016</t>
  </si>
  <si>
    <t>รัตนา ปัญญา</t>
  </si>
  <si>
    <t>NKX1017</t>
  </si>
  <si>
    <t>เกียรติศักดิ์ หงษ์ทอง</t>
  </si>
  <si>
    <t>BPC1018</t>
  </si>
  <si>
    <t>นภาพร ตะวัน</t>
  </si>
  <si>
    <t>NPW1019</t>
  </si>
  <si>
    <t>ชัยวัฒน์ บัวลอย</t>
  </si>
  <si>
    <t>PYW1020</t>
  </si>
  <si>
    <t>มณีรัตน์ เมืองแสน</t>
  </si>
  <si>
    <t>TUK1021</t>
  </si>
  <si>
    <t>ภาณุ ธรรมโม</t>
  </si>
  <si>
    <t>SKN1022</t>
  </si>
  <si>
    <t>วราภรณ์ ชาลี</t>
  </si>
  <si>
    <t>NKX1023</t>
  </si>
  <si>
    <t>สุรศักดิ์ สายทอง</t>
  </si>
  <si>
    <t>BPC1024</t>
  </si>
  <si>
    <t>ดวงใจ ก้อนคำ</t>
  </si>
  <si>
    <t>NPW1025</t>
  </si>
  <si>
    <t>เอกชัย วรรณะ</t>
  </si>
  <si>
    <t>PYW1026</t>
  </si>
  <si>
    <t>พิมพ์ใจ ศิลาแลง</t>
  </si>
  <si>
    <t>TUK1027</t>
  </si>
  <si>
    <t>คมสัน อุ่นเรือน</t>
  </si>
  <si>
    <t>SKN1028</t>
  </si>
  <si>
    <t>ยุพิน แสงจันทร์</t>
  </si>
  <si>
    <t>NKX1029</t>
  </si>
  <si>
    <t>ไพโรจน์ คงคา</t>
  </si>
  <si>
    <t>BPC1030</t>
  </si>
  <si>
    <t>อัมพร พันธุ์ดี</t>
  </si>
  <si>
    <t>NPW1031</t>
  </si>
  <si>
    <t>ทวีศักดิ์ จันทร์เพ็ญ</t>
  </si>
  <si>
    <t>PYW1032</t>
  </si>
  <si>
    <t>สายฝน สิงห์คำ</t>
  </si>
  <si>
    <t>TUK1033</t>
  </si>
  <si>
    <t>บุญมี มณีวงศ์</t>
  </si>
  <si>
    <t>SKN1034</t>
  </si>
  <si>
    <t>ลัดดา ทองดี</t>
  </si>
  <si>
    <t>NKX1035</t>
  </si>
  <si>
    <t>สมพงษ์ ภูมิชัย</t>
  </si>
  <si>
    <t>BPC1036</t>
  </si>
  <si>
    <t>เพ็ญศรี เสนาะ</t>
  </si>
  <si>
    <t>NPW1037</t>
  </si>
  <si>
    <t>วันชัย วิเศษ</t>
  </si>
  <si>
    <t>PYW1038</t>
  </si>
  <si>
    <t>อรุณี สุริยะ</t>
  </si>
  <si>
    <t>TUK1039</t>
  </si>
  <si>
    <t>ประวิทย์ อ่อนตา</t>
  </si>
  <si>
    <t>SKN1040</t>
  </si>
  <si>
    <t>ทิพวรรณ คำแพง</t>
  </si>
  <si>
    <t>ลำดับ</t>
  </si>
  <si>
    <t>เดือน</t>
  </si>
  <si>
    <t>ประเภทเงินฝาก</t>
  </si>
  <si>
    <t>จำนวนเงิน</t>
  </si>
  <si>
    <t>04/2569</t>
  </si>
  <si>
    <t>ออมทรัพย์</t>
  </si>
  <si>
    <t>ประจำ</t>
  </si>
  <si>
    <t>03/2569</t>
  </si>
  <si>
    <t>06/2569</t>
  </si>
  <si>
    <t>01/2569</t>
  </si>
  <si>
    <t>02/2569</t>
  </si>
  <si>
    <t>05/2569</t>
  </si>
  <si>
    <t>เลขที่สัญญา</t>
  </si>
  <si>
    <t>ประเภทเงินกู้</t>
  </si>
  <si>
    <t>วงเงินกู้</t>
  </si>
  <si>
    <t>อัตราดอกเบี้ย (%ต่อปี)</t>
  </si>
  <si>
    <t>L2569001</t>
  </si>
  <si>
    <t>ฉุกเฉิน</t>
  </si>
  <si>
    <t>L2569002</t>
  </si>
  <si>
    <t>สามัญ</t>
  </si>
  <si>
    <t>L2569003</t>
  </si>
  <si>
    <t>L2569004</t>
  </si>
  <si>
    <t>L2569005</t>
  </si>
  <si>
    <t>L2569006</t>
  </si>
  <si>
    <t>L2569007</t>
  </si>
  <si>
    <t>L2569008</t>
  </si>
  <si>
    <t>L2569009</t>
  </si>
  <si>
    <t>L2569010</t>
  </si>
  <si>
    <t>L2569011</t>
  </si>
  <si>
    <t>L2569012</t>
  </si>
  <si>
    <t>L2569013</t>
  </si>
  <si>
    <t>L2569014</t>
  </si>
  <si>
    <t>L2569015</t>
  </si>
  <si>
    <t>L2569016</t>
  </si>
  <si>
    <t>L2569017</t>
  </si>
  <si>
    <t>L2569018</t>
  </si>
  <si>
    <t>L2569019</t>
  </si>
  <si>
    <t>L2569020</t>
  </si>
  <si>
    <t>L2569021</t>
  </si>
  <si>
    <t>L2569022</t>
  </si>
  <si>
    <t>L2569023</t>
  </si>
  <si>
    <t>L2569024</t>
  </si>
  <si>
    <t>L2569025</t>
  </si>
  <si>
    <t>แบบฝึกหัด — พิมพ์สูตรในช่องสีเหลือง</t>
  </si>
  <si>
    <t>ข้อ</t>
  </si>
  <si>
    <t>โจทย์</t>
  </si>
  <si>
    <t>คำตอบ</t>
  </si>
  <si>
    <t>1</t>
  </si>
  <si>
    <t>ใช้ VLOOKUP หาชื่อ-สกุล ของสมาชิกรหัส PYW1008</t>
  </si>
  <si>
    <t>2</t>
  </si>
  <si>
    <t>ใช้ VLOOKUP หาเงินเดือน ของสมาชิกรหัส PYW1020</t>
  </si>
  <si>
    <t>3</t>
  </si>
  <si>
    <t>ใช้ VLOOKUP + IFERROR หาชื่อของรหัส XXX9999 ถ้าไม่พบให้แสดง "ไม่พบสมาชิก"</t>
  </si>
  <si>
    <t>4</t>
  </si>
  <si>
    <t>ใช้ SUMIF รวมยอดเงินฝากทั้งหมดของสมาชิกรหัส PYW1008</t>
  </si>
  <si>
    <t>5</t>
  </si>
  <si>
    <t>ใช้ SUMIF รวมยอดเงินฝากประเภท "ประจำ" ทั้งหมด</t>
  </si>
  <si>
    <t>6</t>
  </si>
  <si>
    <t>ใช้ COUNTIF นับจำนวนรายการฝากประเภท "ออมทรัพย์"</t>
  </si>
  <si>
    <t>7</t>
  </si>
  <si>
    <t>ใช้ COUNTIF นับจำนวนสมาชิกที่เงินเดือนตั้งแต่ 30,000 บาทขึ้นไป</t>
  </si>
  <si>
    <t>8</t>
  </si>
  <si>
    <t>ใช้ SUMIFS รวมยอดฝาก "ออมทรัพย์" เฉพาะของสมาชิกรหัส PYW1008</t>
  </si>
  <si>
    <t>9</t>
  </si>
  <si>
    <t>ใช้ COUNTIFS นับสัญญากู้ "สามัญ" ที่วงเงินมากกว่า 200,000 บาท</t>
  </si>
  <si>
    <t>10</t>
  </si>
  <si>
    <t>ใช้ AVERAGE หาค่าเฉลี่ยยอดเงินฝากต่อรายการ (ทุกรายการ)</t>
  </si>
  <si>
    <t>11</t>
  </si>
  <si>
    <t>ใช้ MAX หาวงเงินกู้สูงสุด และ MIN หาวงเงินกู้ต่ำสุด (ตอบ 2 เซลล์: E14 = MAX, F14 = MIN)</t>
  </si>
  <si>
    <t>12</t>
  </si>
  <si>
    <t>ใช้ IF: ถ้าเงินเดือนของสมาชิกรหัส PYW1020 (คำตอบข้อ 2 = เซลล์ E4) ตั้งแต่ 30,000 ขึ้นไป ให้แสดง "กู้สามัญได้" ไม่งั้น "กู้ฉุกเฉินเท่านั้น"</t>
  </si>
  <si>
    <t>ข้อ 13 (PivotTable): สร้าง PivotTable จากชีต 'เงินฝาก' — Insert → PivotTable → วางในชีตใหม่</t>
  </si>
  <si>
    <t xml:space="preserve">   ลาก: เดือน → Rows · ประเภทเงินฝาก → Columns · จำนวนเงิน → Values (Sum)</t>
  </si>
  <si>
    <t xml:space="preserve">   เสร็จแล้วเทียบยอดรวมกับตารางเฉลยในชีต 'เฉลย' (สร้างด้วย SUMIFS)</t>
  </si>
  <si>
    <t>ข้อ 14 (Sort/Filter): ที่ชีต 'สมาชิก' ใช้ Data → Filter กรองตำแหน่ง 'ครูชำนาญการพิเศษ'</t>
  </si>
  <si>
    <t xml:space="preserve">   แล้ว Sort เงินเดือนจากมากไปน้อย — ใครเงินเดือนสูงสุด? เทียบคำตอบในชีต 'เฉลย'</t>
  </si>
  <si>
    <t>เฉลย — สูตรทุกข้อกดดูได้ที่เซลล์</t>
  </si>
  <si>
    <t>ตารางเฉลยข้อ 13 (ยอดฝากรายเดือนแยกประเภท — สร้างด้วย SUMIFS ผลต้องตรงกับ PivotTable):</t>
  </si>
  <si>
    <t>รวม</t>
  </si>
  <si>
    <t>รวมทั้งหมด</t>
  </si>
  <si>
    <t>เฉลยข้อ 14 — เงินเดือนสูงสุดของ 'ครูชำนาญการพิเศษ':</t>
  </si>
  <si>
    <t>ชื่อผู้ที่ได้เงินเดือนสูงสุดตำแหน่งนั้น: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</si>
</sst>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4"/>
      <color rgb="FF1E3A5F"/>
      <name val="Tahoma"/>
    </font>
    <font>
      <sz val="11"/>
      <name val="Tahoma"/>
    </font>
    <font>
      <b/>
      <sz val="11"/>
      <name val="Tahoma"/>
    </font>
    <font>
      <b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Alignment="1">
      <alignment vertical="top" wrapText="1"/>
    </xf>
    <xf numFmtId="0" fontId="2" fillId="3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3" fontId="2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defaultRowHeight="13.8" x14ac:dyDescent="0.25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3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3" t="s">
        <v>7</v>
      </c>
    </row>
    <row r="12" spans="1:1" x14ac:dyDescent="0.25">
      <c r="A12" s="2" t="s">
        <v>8</v>
      </c>
    </row>
    <row r="13" spans="1:1" x14ac:dyDescent="0.25">
      <c r="A13" s="2"/>
    </row>
    <row r="14" spans="1:1" x14ac:dyDescent="0.25">
      <c r="A14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defaultRowHeight="13.8" x14ac:dyDescent="0.25"/>
  <cols>
    <col min="1" max="1" width="14" customWidth="1"/>
    <col min="2" max="3" width="24" customWidth="1"/>
    <col min="4" max="4" width="20" customWidth="1"/>
    <col min="5" max="6" width="12" customWidth="1"/>
  </cols>
  <sheetData>
    <row r="1" spans="1:6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spans="1:6" x14ac:dyDescent="0.25">
      <c r="A2" s="5" t="s">
        <v>16</v>
      </c>
      <c r="B2" s="5" t="s">
        <v>17</v>
      </c>
      <c r="C2" s="5" t="s">
        <v>18</v>
      </c>
      <c r="D2" s="5" t="s">
        <v>19</v>
      </c>
      <c r="E2" s="6">
        <v>44000</v>
      </c>
      <c r="F2" s="6">
        <v>134000</v>
      </c>
    </row>
    <row r="3" spans="1:6" x14ac:dyDescent="0.25">
      <c r="A3" s="5" t="s">
        <v>20</v>
      </c>
      <c r="B3" s="5" t="s">
        <v>21</v>
      </c>
      <c r="C3" s="5" t="s">
        <v>22</v>
      </c>
      <c r="D3" s="5" t="s">
        <v>23</v>
      </c>
      <c r="E3" s="6">
        <v>19500</v>
      </c>
      <c r="F3" s="6">
        <v>35000</v>
      </c>
    </row>
    <row r="4" spans="1:6" x14ac:dyDescent="0.25">
      <c r="A4" s="5" t="s">
        <v>24</v>
      </c>
      <c r="B4" s="5" t="s">
        <v>25</v>
      </c>
      <c r="C4" s="5" t="s">
        <v>26</v>
      </c>
      <c r="D4" s="5" t="s">
        <v>23</v>
      </c>
      <c r="E4" s="6">
        <v>21000</v>
      </c>
      <c r="F4" s="6">
        <v>307000</v>
      </c>
    </row>
    <row r="5" spans="1:6" x14ac:dyDescent="0.25">
      <c r="A5" s="5" t="s">
        <v>27</v>
      </c>
      <c r="B5" s="5" t="s">
        <v>28</v>
      </c>
      <c r="C5" s="5" t="s">
        <v>29</v>
      </c>
      <c r="D5" s="5" t="s">
        <v>30</v>
      </c>
      <c r="E5" s="6">
        <v>29500</v>
      </c>
      <c r="F5" s="6">
        <v>23000</v>
      </c>
    </row>
    <row r="6" spans="1:6" x14ac:dyDescent="0.25">
      <c r="A6" s="5" t="s">
        <v>31</v>
      </c>
      <c r="B6" s="5" t="s">
        <v>32</v>
      </c>
      <c r="C6" s="5" t="s">
        <v>33</v>
      </c>
      <c r="D6" s="5" t="s">
        <v>23</v>
      </c>
      <c r="E6" s="6">
        <v>24500</v>
      </c>
      <c r="F6" s="6">
        <v>192000</v>
      </c>
    </row>
    <row r="7" spans="1:6" x14ac:dyDescent="0.25">
      <c r="A7" s="5" t="s">
        <v>34</v>
      </c>
      <c r="B7" s="5" t="s">
        <v>35</v>
      </c>
      <c r="C7" s="5" t="s">
        <v>36</v>
      </c>
      <c r="D7" s="5" t="s">
        <v>23</v>
      </c>
      <c r="E7" s="6">
        <v>19000</v>
      </c>
      <c r="F7" s="6">
        <v>196000</v>
      </c>
    </row>
    <row r="8" spans="1:6" x14ac:dyDescent="0.25">
      <c r="A8" s="5" t="s">
        <v>37</v>
      </c>
      <c r="B8" s="5" t="s">
        <v>38</v>
      </c>
      <c r="C8" s="5" t="s">
        <v>18</v>
      </c>
      <c r="D8" s="5" t="s">
        <v>19</v>
      </c>
      <c r="E8" s="6">
        <v>47000</v>
      </c>
      <c r="F8" s="6">
        <v>83000</v>
      </c>
    </row>
    <row r="9" spans="1:6" x14ac:dyDescent="0.25">
      <c r="A9" s="5" t="s">
        <v>39</v>
      </c>
      <c r="B9" s="5" t="s">
        <v>40</v>
      </c>
      <c r="C9" s="5" t="s">
        <v>22</v>
      </c>
      <c r="D9" s="5" t="s">
        <v>41</v>
      </c>
      <c r="E9" s="6">
        <v>44500</v>
      </c>
      <c r="F9" s="6">
        <v>205000</v>
      </c>
    </row>
    <row r="10" spans="1:6" x14ac:dyDescent="0.25">
      <c r="A10" s="5" t="s">
        <v>42</v>
      </c>
      <c r="B10" s="5" t="s">
        <v>43</v>
      </c>
      <c r="C10" s="5" t="s">
        <v>26</v>
      </c>
      <c r="D10" s="5" t="s">
        <v>19</v>
      </c>
      <c r="E10" s="6">
        <v>50500</v>
      </c>
      <c r="F10" s="6">
        <v>168000</v>
      </c>
    </row>
    <row r="11" spans="1:6" x14ac:dyDescent="0.25">
      <c r="A11" s="5" t="s">
        <v>44</v>
      </c>
      <c r="B11" s="5" t="s">
        <v>45</v>
      </c>
      <c r="C11" s="5" t="s">
        <v>29</v>
      </c>
      <c r="D11" s="5" t="s">
        <v>23</v>
      </c>
      <c r="E11" s="6">
        <v>21500</v>
      </c>
      <c r="F11" s="6">
        <v>345000</v>
      </c>
    </row>
    <row r="12" spans="1:6" x14ac:dyDescent="0.25">
      <c r="A12" s="5" t="s">
        <v>46</v>
      </c>
      <c r="B12" s="5" t="s">
        <v>47</v>
      </c>
      <c r="C12" s="5" t="s">
        <v>33</v>
      </c>
      <c r="D12" s="5" t="s">
        <v>30</v>
      </c>
      <c r="E12" s="6">
        <v>31500</v>
      </c>
      <c r="F12" s="6">
        <v>156000</v>
      </c>
    </row>
    <row r="13" spans="1:6" x14ac:dyDescent="0.25">
      <c r="A13" s="5" t="s">
        <v>48</v>
      </c>
      <c r="B13" s="5" t="s">
        <v>49</v>
      </c>
      <c r="C13" s="5" t="s">
        <v>36</v>
      </c>
      <c r="D13" s="5" t="s">
        <v>19</v>
      </c>
      <c r="E13" s="6">
        <v>51500</v>
      </c>
      <c r="F13" s="6">
        <v>103000</v>
      </c>
    </row>
    <row r="14" spans="1:6" x14ac:dyDescent="0.25">
      <c r="A14" s="5" t="s">
        <v>50</v>
      </c>
      <c r="B14" s="5" t="s">
        <v>51</v>
      </c>
      <c r="C14" s="5" t="s">
        <v>18</v>
      </c>
      <c r="D14" s="5" t="s">
        <v>41</v>
      </c>
      <c r="E14" s="6">
        <v>44000</v>
      </c>
      <c r="F14" s="6">
        <v>132000</v>
      </c>
    </row>
    <row r="15" spans="1:6" x14ac:dyDescent="0.25">
      <c r="A15" s="5" t="s">
        <v>52</v>
      </c>
      <c r="B15" s="5" t="s">
        <v>53</v>
      </c>
      <c r="C15" s="5" t="s">
        <v>22</v>
      </c>
      <c r="D15" s="5" t="s">
        <v>19</v>
      </c>
      <c r="E15" s="6">
        <v>40500</v>
      </c>
      <c r="F15" s="6">
        <v>181000</v>
      </c>
    </row>
    <row r="16" spans="1:6" x14ac:dyDescent="0.25">
      <c r="A16" s="5" t="s">
        <v>54</v>
      </c>
      <c r="B16" s="5" t="s">
        <v>55</v>
      </c>
      <c r="C16" s="5" t="s">
        <v>26</v>
      </c>
      <c r="D16" s="5" t="s">
        <v>41</v>
      </c>
      <c r="E16" s="6">
        <v>37000</v>
      </c>
      <c r="F16" s="6">
        <v>181000</v>
      </c>
    </row>
    <row r="17" spans="1:6" x14ac:dyDescent="0.25">
      <c r="A17" s="5" t="s">
        <v>56</v>
      </c>
      <c r="B17" s="5" t="s">
        <v>57</v>
      </c>
      <c r="C17" s="5" t="s">
        <v>29</v>
      </c>
      <c r="D17" s="5" t="s">
        <v>30</v>
      </c>
      <c r="E17" s="6">
        <v>32000</v>
      </c>
      <c r="F17" s="6">
        <v>155000</v>
      </c>
    </row>
    <row r="18" spans="1:6" x14ac:dyDescent="0.25">
      <c r="A18" s="5" t="s">
        <v>58</v>
      </c>
      <c r="B18" s="5" t="s">
        <v>59</v>
      </c>
      <c r="C18" s="5" t="s">
        <v>33</v>
      </c>
      <c r="D18" s="5" t="s">
        <v>23</v>
      </c>
      <c r="E18" s="6">
        <v>21500</v>
      </c>
      <c r="F18" s="6">
        <v>318000</v>
      </c>
    </row>
    <row r="19" spans="1:6" x14ac:dyDescent="0.25">
      <c r="A19" s="5" t="s">
        <v>60</v>
      </c>
      <c r="B19" s="5" t="s">
        <v>61</v>
      </c>
      <c r="C19" s="5" t="s">
        <v>36</v>
      </c>
      <c r="D19" s="5" t="s">
        <v>41</v>
      </c>
      <c r="E19" s="6">
        <v>36000</v>
      </c>
      <c r="F19" s="6">
        <v>66000</v>
      </c>
    </row>
    <row r="20" spans="1:6" x14ac:dyDescent="0.25">
      <c r="A20" s="5" t="s">
        <v>62</v>
      </c>
      <c r="B20" s="5" t="s">
        <v>63</v>
      </c>
      <c r="C20" s="5" t="s">
        <v>18</v>
      </c>
      <c r="D20" s="5" t="s">
        <v>23</v>
      </c>
      <c r="E20" s="6">
        <v>19500</v>
      </c>
      <c r="F20" s="6">
        <v>368000</v>
      </c>
    </row>
    <row r="21" spans="1:6" x14ac:dyDescent="0.25">
      <c r="A21" s="5" t="s">
        <v>64</v>
      </c>
      <c r="B21" s="5" t="s">
        <v>65</v>
      </c>
      <c r="C21" s="5" t="s">
        <v>22</v>
      </c>
      <c r="D21" s="5" t="s">
        <v>41</v>
      </c>
      <c r="E21" s="6">
        <v>40000</v>
      </c>
      <c r="F21" s="6">
        <v>290000</v>
      </c>
    </row>
    <row r="22" spans="1:6" x14ac:dyDescent="0.25">
      <c r="A22" s="5" t="s">
        <v>66</v>
      </c>
      <c r="B22" s="5" t="s">
        <v>67</v>
      </c>
      <c r="C22" s="5" t="s">
        <v>26</v>
      </c>
      <c r="D22" s="5" t="s">
        <v>30</v>
      </c>
      <c r="E22" s="6">
        <v>27500</v>
      </c>
      <c r="F22" s="6">
        <v>156000</v>
      </c>
    </row>
    <row r="23" spans="1:6" x14ac:dyDescent="0.25">
      <c r="A23" s="5" t="s">
        <v>68</v>
      </c>
      <c r="B23" s="5" t="s">
        <v>69</v>
      </c>
      <c r="C23" s="5" t="s">
        <v>29</v>
      </c>
      <c r="D23" s="5" t="s">
        <v>19</v>
      </c>
      <c r="E23" s="6">
        <v>46500</v>
      </c>
      <c r="F23" s="6">
        <v>252000</v>
      </c>
    </row>
    <row r="24" spans="1:6" x14ac:dyDescent="0.25">
      <c r="A24" s="5" t="s">
        <v>70</v>
      </c>
      <c r="B24" s="5" t="s">
        <v>71</v>
      </c>
      <c r="C24" s="5" t="s">
        <v>33</v>
      </c>
      <c r="D24" s="5" t="s">
        <v>23</v>
      </c>
      <c r="E24" s="6">
        <v>22000</v>
      </c>
      <c r="F24" s="6">
        <v>340000</v>
      </c>
    </row>
    <row r="25" spans="1:6" x14ac:dyDescent="0.25">
      <c r="A25" s="5" t="s">
        <v>72</v>
      </c>
      <c r="B25" s="5" t="s">
        <v>73</v>
      </c>
      <c r="C25" s="5" t="s">
        <v>36</v>
      </c>
      <c r="D25" s="5" t="s">
        <v>30</v>
      </c>
      <c r="E25" s="6">
        <v>28000</v>
      </c>
      <c r="F25" s="6">
        <v>291000</v>
      </c>
    </row>
    <row r="26" spans="1:6" x14ac:dyDescent="0.25">
      <c r="A26" s="5" t="s">
        <v>74</v>
      </c>
      <c r="B26" s="5" t="s">
        <v>75</v>
      </c>
      <c r="C26" s="5" t="s">
        <v>18</v>
      </c>
      <c r="D26" s="5" t="s">
        <v>23</v>
      </c>
      <c r="E26" s="6">
        <v>23000</v>
      </c>
      <c r="F26" s="6">
        <v>177000</v>
      </c>
    </row>
    <row r="27" spans="1:6" x14ac:dyDescent="0.25">
      <c r="A27" s="5" t="s">
        <v>76</v>
      </c>
      <c r="B27" s="5" t="s">
        <v>77</v>
      </c>
      <c r="C27" s="5" t="s">
        <v>22</v>
      </c>
      <c r="D27" s="5" t="s">
        <v>30</v>
      </c>
      <c r="E27" s="6">
        <v>29500</v>
      </c>
      <c r="F27" s="6">
        <v>394000</v>
      </c>
    </row>
    <row r="28" spans="1:6" x14ac:dyDescent="0.25">
      <c r="A28" s="5" t="s">
        <v>78</v>
      </c>
      <c r="B28" s="5" t="s">
        <v>79</v>
      </c>
      <c r="C28" s="5" t="s">
        <v>26</v>
      </c>
      <c r="D28" s="5" t="s">
        <v>41</v>
      </c>
      <c r="E28" s="6">
        <v>36000</v>
      </c>
      <c r="F28" s="6">
        <v>301000</v>
      </c>
    </row>
    <row r="29" spans="1:6" x14ac:dyDescent="0.25">
      <c r="A29" s="5" t="s">
        <v>80</v>
      </c>
      <c r="B29" s="5" t="s">
        <v>81</v>
      </c>
      <c r="C29" s="5" t="s">
        <v>29</v>
      </c>
      <c r="D29" s="5" t="s">
        <v>23</v>
      </c>
      <c r="E29" s="6">
        <v>22000</v>
      </c>
      <c r="F29" s="6">
        <v>393000</v>
      </c>
    </row>
    <row r="30" spans="1:6" x14ac:dyDescent="0.25">
      <c r="A30" s="5" t="s">
        <v>82</v>
      </c>
      <c r="B30" s="5" t="s">
        <v>83</v>
      </c>
      <c r="C30" s="5" t="s">
        <v>33</v>
      </c>
      <c r="D30" s="5" t="s">
        <v>19</v>
      </c>
      <c r="E30" s="6">
        <v>50500</v>
      </c>
      <c r="F30" s="6">
        <v>211000</v>
      </c>
    </row>
    <row r="31" spans="1:6" x14ac:dyDescent="0.25">
      <c r="A31" s="5" t="s">
        <v>84</v>
      </c>
      <c r="B31" s="5" t="s">
        <v>85</v>
      </c>
      <c r="C31" s="5" t="s">
        <v>36</v>
      </c>
      <c r="D31" s="5" t="s">
        <v>41</v>
      </c>
      <c r="E31" s="6">
        <v>37500</v>
      </c>
      <c r="F31" s="6">
        <v>193000</v>
      </c>
    </row>
    <row r="32" spans="1:6" x14ac:dyDescent="0.25">
      <c r="A32" s="5" t="s">
        <v>86</v>
      </c>
      <c r="B32" s="5" t="s">
        <v>87</v>
      </c>
      <c r="C32" s="5" t="s">
        <v>18</v>
      </c>
      <c r="D32" s="5" t="s">
        <v>23</v>
      </c>
      <c r="E32" s="6">
        <v>21500</v>
      </c>
      <c r="F32" s="6">
        <v>343000</v>
      </c>
    </row>
    <row r="33" spans="1:6" x14ac:dyDescent="0.25">
      <c r="A33" s="5" t="s">
        <v>88</v>
      </c>
      <c r="B33" s="5" t="s">
        <v>89</v>
      </c>
      <c r="C33" s="5" t="s">
        <v>22</v>
      </c>
      <c r="D33" s="5" t="s">
        <v>23</v>
      </c>
      <c r="E33" s="6">
        <v>21500</v>
      </c>
      <c r="F33" s="6">
        <v>283000</v>
      </c>
    </row>
    <row r="34" spans="1:6" x14ac:dyDescent="0.25">
      <c r="A34" s="5" t="s">
        <v>90</v>
      </c>
      <c r="B34" s="5" t="s">
        <v>91</v>
      </c>
      <c r="C34" s="5" t="s">
        <v>26</v>
      </c>
      <c r="D34" s="5" t="s">
        <v>30</v>
      </c>
      <c r="E34" s="6">
        <v>33500</v>
      </c>
      <c r="F34" s="6">
        <v>390000</v>
      </c>
    </row>
    <row r="35" spans="1:6" x14ac:dyDescent="0.25">
      <c r="A35" s="5" t="s">
        <v>92</v>
      </c>
      <c r="B35" s="5" t="s">
        <v>93</v>
      </c>
      <c r="C35" s="5" t="s">
        <v>29</v>
      </c>
      <c r="D35" s="5" t="s">
        <v>19</v>
      </c>
      <c r="E35" s="6">
        <v>46500</v>
      </c>
      <c r="F35" s="6">
        <v>68000</v>
      </c>
    </row>
    <row r="36" spans="1:6" x14ac:dyDescent="0.25">
      <c r="A36" s="5" t="s">
        <v>94</v>
      </c>
      <c r="B36" s="5" t="s">
        <v>95</v>
      </c>
      <c r="C36" s="5" t="s">
        <v>33</v>
      </c>
      <c r="D36" s="5" t="s">
        <v>23</v>
      </c>
      <c r="E36" s="6">
        <v>24500</v>
      </c>
      <c r="F36" s="6">
        <v>393000</v>
      </c>
    </row>
    <row r="37" spans="1:6" x14ac:dyDescent="0.25">
      <c r="A37" s="5" t="s">
        <v>96</v>
      </c>
      <c r="B37" s="5" t="s">
        <v>97</v>
      </c>
      <c r="C37" s="5" t="s">
        <v>36</v>
      </c>
      <c r="D37" s="5" t="s">
        <v>23</v>
      </c>
      <c r="E37" s="6">
        <v>19500</v>
      </c>
      <c r="F37" s="6">
        <v>75000</v>
      </c>
    </row>
    <row r="38" spans="1:6" x14ac:dyDescent="0.25">
      <c r="A38" s="5" t="s">
        <v>98</v>
      </c>
      <c r="B38" s="5" t="s">
        <v>99</v>
      </c>
      <c r="C38" s="5" t="s">
        <v>18</v>
      </c>
      <c r="D38" s="5" t="s">
        <v>30</v>
      </c>
      <c r="E38" s="6">
        <v>29000</v>
      </c>
      <c r="F38" s="6">
        <v>236000</v>
      </c>
    </row>
    <row r="39" spans="1:6" x14ac:dyDescent="0.25">
      <c r="A39" s="5" t="s">
        <v>100</v>
      </c>
      <c r="B39" s="5" t="s">
        <v>101</v>
      </c>
      <c r="C39" s="5" t="s">
        <v>22</v>
      </c>
      <c r="D39" s="5" t="s">
        <v>23</v>
      </c>
      <c r="E39" s="6">
        <v>22000</v>
      </c>
      <c r="F39" s="6">
        <v>301000</v>
      </c>
    </row>
    <row r="40" spans="1:6" x14ac:dyDescent="0.25">
      <c r="A40" s="5" t="s">
        <v>102</v>
      </c>
      <c r="B40" s="5" t="s">
        <v>103</v>
      </c>
      <c r="C40" s="5" t="s">
        <v>26</v>
      </c>
      <c r="D40" s="5" t="s">
        <v>23</v>
      </c>
      <c r="E40" s="6">
        <v>18500</v>
      </c>
      <c r="F40" s="6">
        <v>228000</v>
      </c>
    </row>
    <row r="41" spans="1:6" x14ac:dyDescent="0.25">
      <c r="A41" s="5" t="s">
        <v>104</v>
      </c>
      <c r="B41" s="5" t="s">
        <v>105</v>
      </c>
      <c r="C41" s="5" t="s">
        <v>29</v>
      </c>
      <c r="D41" s="5" t="s">
        <v>41</v>
      </c>
      <c r="E41" s="6">
        <v>40000</v>
      </c>
      <c r="F41" s="6">
        <v>214000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workbookViewId="0"/>
  </sheetViews>
  <sheetFormatPr defaultRowHeight="13.8" x14ac:dyDescent="0.25"/>
  <cols>
    <col min="1" max="1" width="8" customWidth="1"/>
    <col min="2" max="2" width="10" customWidth="1"/>
    <col min="3" max="3" width="14" customWidth="1"/>
    <col min="4" max="4" width="16" customWidth="1"/>
    <col min="5" max="5" width="12" customWidth="1"/>
  </cols>
  <sheetData>
    <row r="1" spans="1:5" x14ac:dyDescent="0.25">
      <c r="A1" s="4" t="s">
        <v>106</v>
      </c>
      <c r="B1" s="4" t="s">
        <v>107</v>
      </c>
      <c r="C1" s="4" t="s">
        <v>10</v>
      </c>
      <c r="D1" s="4" t="s">
        <v>108</v>
      </c>
      <c r="E1" s="4" t="s">
        <v>109</v>
      </c>
    </row>
    <row r="2" spans="1:5" x14ac:dyDescent="0.25">
      <c r="A2" s="5">
        <v>1</v>
      </c>
      <c r="B2" s="5" t="s">
        <v>110</v>
      </c>
      <c r="C2" s="5" t="s">
        <v>16</v>
      </c>
      <c r="D2" s="5" t="s">
        <v>111</v>
      </c>
      <c r="E2" s="6">
        <v>15000</v>
      </c>
    </row>
    <row r="3" spans="1:5" x14ac:dyDescent="0.25">
      <c r="A3" s="5">
        <v>2</v>
      </c>
      <c r="B3" s="5" t="s">
        <v>110</v>
      </c>
      <c r="C3" s="5" t="s">
        <v>62</v>
      </c>
      <c r="D3" s="5" t="s">
        <v>112</v>
      </c>
      <c r="E3" s="6">
        <v>5000</v>
      </c>
    </row>
    <row r="4" spans="1:5" x14ac:dyDescent="0.25">
      <c r="A4" s="5">
        <v>3</v>
      </c>
      <c r="B4" s="5" t="s">
        <v>113</v>
      </c>
      <c r="C4" s="5" t="s">
        <v>50</v>
      </c>
      <c r="D4" s="5" t="s">
        <v>111</v>
      </c>
      <c r="E4" s="6">
        <v>2000</v>
      </c>
    </row>
    <row r="5" spans="1:5" x14ac:dyDescent="0.25">
      <c r="A5" s="5">
        <v>4</v>
      </c>
      <c r="B5" s="5" t="s">
        <v>114</v>
      </c>
      <c r="C5" s="5" t="s">
        <v>100</v>
      </c>
      <c r="D5" s="5" t="s">
        <v>111</v>
      </c>
      <c r="E5" s="6">
        <v>10500</v>
      </c>
    </row>
    <row r="6" spans="1:5" x14ac:dyDescent="0.25">
      <c r="A6" s="5">
        <v>5</v>
      </c>
      <c r="B6" s="5" t="s">
        <v>115</v>
      </c>
      <c r="C6" s="5" t="s">
        <v>27</v>
      </c>
      <c r="D6" s="5" t="s">
        <v>112</v>
      </c>
      <c r="E6" s="6">
        <v>16500</v>
      </c>
    </row>
    <row r="7" spans="1:5" x14ac:dyDescent="0.25">
      <c r="A7" s="5">
        <v>6</v>
      </c>
      <c r="B7" s="5" t="s">
        <v>116</v>
      </c>
      <c r="C7" s="5" t="s">
        <v>92</v>
      </c>
      <c r="D7" s="5" t="s">
        <v>111</v>
      </c>
      <c r="E7" s="6">
        <v>16500</v>
      </c>
    </row>
    <row r="8" spans="1:5" x14ac:dyDescent="0.25">
      <c r="A8" s="5">
        <v>7</v>
      </c>
      <c r="B8" s="5" t="s">
        <v>116</v>
      </c>
      <c r="C8" s="5" t="s">
        <v>34</v>
      </c>
      <c r="D8" s="5" t="s">
        <v>111</v>
      </c>
      <c r="E8" s="6">
        <v>19500</v>
      </c>
    </row>
    <row r="9" spans="1:5" x14ac:dyDescent="0.25">
      <c r="A9" s="5">
        <v>8</v>
      </c>
      <c r="B9" s="5" t="s">
        <v>114</v>
      </c>
      <c r="C9" s="5" t="s">
        <v>31</v>
      </c>
      <c r="D9" s="5" t="s">
        <v>111</v>
      </c>
      <c r="E9" s="6">
        <v>13000</v>
      </c>
    </row>
    <row r="10" spans="1:5" x14ac:dyDescent="0.25">
      <c r="A10" s="5">
        <v>9</v>
      </c>
      <c r="B10" s="5" t="s">
        <v>117</v>
      </c>
      <c r="C10" s="5" t="s">
        <v>39</v>
      </c>
      <c r="D10" s="5" t="s">
        <v>111</v>
      </c>
      <c r="E10" s="6">
        <v>19000</v>
      </c>
    </row>
    <row r="11" spans="1:5" x14ac:dyDescent="0.25">
      <c r="A11" s="5">
        <v>10</v>
      </c>
      <c r="B11" s="5" t="s">
        <v>115</v>
      </c>
      <c r="C11" s="5" t="s">
        <v>102</v>
      </c>
      <c r="D11" s="5" t="s">
        <v>111</v>
      </c>
      <c r="E11" s="6">
        <v>13500</v>
      </c>
    </row>
    <row r="12" spans="1:5" x14ac:dyDescent="0.25">
      <c r="A12" s="5">
        <v>11</v>
      </c>
      <c r="B12" s="5" t="s">
        <v>117</v>
      </c>
      <c r="C12" s="5" t="s">
        <v>100</v>
      </c>
      <c r="D12" s="5" t="s">
        <v>111</v>
      </c>
      <c r="E12" s="6">
        <v>8500</v>
      </c>
    </row>
    <row r="13" spans="1:5" x14ac:dyDescent="0.25">
      <c r="A13" s="5">
        <v>12</v>
      </c>
      <c r="B13" s="5" t="s">
        <v>114</v>
      </c>
      <c r="C13" s="5" t="s">
        <v>52</v>
      </c>
      <c r="D13" s="5" t="s">
        <v>111</v>
      </c>
      <c r="E13" s="6">
        <v>8000</v>
      </c>
    </row>
    <row r="14" spans="1:5" x14ac:dyDescent="0.25">
      <c r="A14" s="5">
        <v>13</v>
      </c>
      <c r="B14" s="5" t="s">
        <v>110</v>
      </c>
      <c r="C14" s="5" t="s">
        <v>58</v>
      </c>
      <c r="D14" s="5" t="s">
        <v>111</v>
      </c>
      <c r="E14" s="6">
        <v>10000</v>
      </c>
    </row>
    <row r="15" spans="1:5" x14ac:dyDescent="0.25">
      <c r="A15" s="5">
        <v>14</v>
      </c>
      <c r="B15" s="5" t="s">
        <v>113</v>
      </c>
      <c r="C15" s="5" t="s">
        <v>84</v>
      </c>
      <c r="D15" s="5" t="s">
        <v>111</v>
      </c>
      <c r="E15" s="6">
        <v>500</v>
      </c>
    </row>
    <row r="16" spans="1:5" x14ac:dyDescent="0.25">
      <c r="A16" s="5">
        <v>15</v>
      </c>
      <c r="B16" s="5" t="s">
        <v>117</v>
      </c>
      <c r="C16" s="5" t="s">
        <v>84</v>
      </c>
      <c r="D16" s="5" t="s">
        <v>111</v>
      </c>
      <c r="E16" s="6">
        <v>2500</v>
      </c>
    </row>
    <row r="17" spans="1:5" x14ac:dyDescent="0.25">
      <c r="A17" s="5">
        <v>16</v>
      </c>
      <c r="B17" s="5" t="s">
        <v>116</v>
      </c>
      <c r="C17" s="5" t="s">
        <v>94</v>
      </c>
      <c r="D17" s="5" t="s">
        <v>111</v>
      </c>
      <c r="E17" s="6">
        <v>4500</v>
      </c>
    </row>
    <row r="18" spans="1:5" x14ac:dyDescent="0.25">
      <c r="A18" s="5">
        <v>17</v>
      </c>
      <c r="B18" s="5" t="s">
        <v>115</v>
      </c>
      <c r="C18" s="5" t="s">
        <v>70</v>
      </c>
      <c r="D18" s="5" t="s">
        <v>111</v>
      </c>
      <c r="E18" s="6">
        <v>12000</v>
      </c>
    </row>
    <row r="19" spans="1:5" x14ac:dyDescent="0.25">
      <c r="A19" s="5">
        <v>18</v>
      </c>
      <c r="B19" s="5" t="s">
        <v>116</v>
      </c>
      <c r="C19" s="5" t="s">
        <v>62</v>
      </c>
      <c r="D19" s="5" t="s">
        <v>112</v>
      </c>
      <c r="E19" s="6">
        <v>17500</v>
      </c>
    </row>
    <row r="20" spans="1:5" x14ac:dyDescent="0.25">
      <c r="A20" s="5">
        <v>19</v>
      </c>
      <c r="B20" s="5" t="s">
        <v>117</v>
      </c>
      <c r="C20" s="5" t="s">
        <v>64</v>
      </c>
      <c r="D20" s="5" t="s">
        <v>111</v>
      </c>
      <c r="E20" s="6">
        <v>18000</v>
      </c>
    </row>
    <row r="21" spans="1:5" x14ac:dyDescent="0.25">
      <c r="A21" s="5">
        <v>20</v>
      </c>
      <c r="B21" s="5" t="s">
        <v>114</v>
      </c>
      <c r="C21" s="5" t="s">
        <v>64</v>
      </c>
      <c r="D21" s="5" t="s">
        <v>111</v>
      </c>
      <c r="E21" s="6">
        <v>4500</v>
      </c>
    </row>
    <row r="22" spans="1:5" x14ac:dyDescent="0.25">
      <c r="A22" s="5">
        <v>21</v>
      </c>
      <c r="B22" s="5" t="s">
        <v>115</v>
      </c>
      <c r="C22" s="5" t="s">
        <v>58</v>
      </c>
      <c r="D22" s="5" t="s">
        <v>111</v>
      </c>
      <c r="E22" s="6">
        <v>18000</v>
      </c>
    </row>
    <row r="23" spans="1:5" x14ac:dyDescent="0.25">
      <c r="A23" s="5">
        <v>22</v>
      </c>
      <c r="B23" s="5" t="s">
        <v>113</v>
      </c>
      <c r="C23" s="5" t="s">
        <v>44</v>
      </c>
      <c r="D23" s="5" t="s">
        <v>111</v>
      </c>
      <c r="E23" s="6">
        <v>19500</v>
      </c>
    </row>
    <row r="24" spans="1:5" x14ac:dyDescent="0.25">
      <c r="A24" s="5">
        <v>23</v>
      </c>
      <c r="B24" s="5" t="s">
        <v>114</v>
      </c>
      <c r="C24" s="5" t="s">
        <v>52</v>
      </c>
      <c r="D24" s="5" t="s">
        <v>111</v>
      </c>
      <c r="E24" s="6">
        <v>7000</v>
      </c>
    </row>
    <row r="25" spans="1:5" x14ac:dyDescent="0.25">
      <c r="A25" s="5">
        <v>24</v>
      </c>
      <c r="B25" s="5" t="s">
        <v>117</v>
      </c>
      <c r="C25" s="5" t="s">
        <v>58</v>
      </c>
      <c r="D25" s="5" t="s">
        <v>112</v>
      </c>
      <c r="E25" s="6">
        <v>8500</v>
      </c>
    </row>
    <row r="26" spans="1:5" x14ac:dyDescent="0.25">
      <c r="A26" s="5">
        <v>25</v>
      </c>
      <c r="B26" s="5" t="s">
        <v>115</v>
      </c>
      <c r="C26" s="5" t="s">
        <v>27</v>
      </c>
      <c r="D26" s="5" t="s">
        <v>112</v>
      </c>
      <c r="E26" s="6">
        <v>9000</v>
      </c>
    </row>
    <row r="27" spans="1:5" x14ac:dyDescent="0.25">
      <c r="A27" s="5">
        <v>26</v>
      </c>
      <c r="B27" s="5" t="s">
        <v>115</v>
      </c>
      <c r="C27" s="5" t="s">
        <v>24</v>
      </c>
      <c r="D27" s="5" t="s">
        <v>111</v>
      </c>
      <c r="E27" s="6">
        <v>4500</v>
      </c>
    </row>
    <row r="28" spans="1:5" x14ac:dyDescent="0.25">
      <c r="A28" s="5">
        <v>27</v>
      </c>
      <c r="B28" s="5" t="s">
        <v>116</v>
      </c>
      <c r="C28" s="5" t="s">
        <v>58</v>
      </c>
      <c r="D28" s="5" t="s">
        <v>112</v>
      </c>
      <c r="E28" s="6">
        <v>18000</v>
      </c>
    </row>
    <row r="29" spans="1:5" x14ac:dyDescent="0.25">
      <c r="A29" s="5">
        <v>28</v>
      </c>
      <c r="B29" s="5" t="s">
        <v>117</v>
      </c>
      <c r="C29" s="5" t="s">
        <v>80</v>
      </c>
      <c r="D29" s="5" t="s">
        <v>111</v>
      </c>
      <c r="E29" s="6">
        <v>4000</v>
      </c>
    </row>
    <row r="30" spans="1:5" x14ac:dyDescent="0.25">
      <c r="A30" s="5">
        <v>29</v>
      </c>
      <c r="B30" s="5" t="s">
        <v>114</v>
      </c>
      <c r="C30" s="5" t="s">
        <v>31</v>
      </c>
      <c r="D30" s="5" t="s">
        <v>111</v>
      </c>
      <c r="E30" s="6">
        <v>17500</v>
      </c>
    </row>
    <row r="31" spans="1:5" x14ac:dyDescent="0.25">
      <c r="A31" s="5">
        <v>30</v>
      </c>
      <c r="B31" s="5" t="s">
        <v>113</v>
      </c>
      <c r="C31" s="5" t="s">
        <v>24</v>
      </c>
      <c r="D31" s="5" t="s">
        <v>111</v>
      </c>
      <c r="E31" s="6">
        <v>14000</v>
      </c>
    </row>
    <row r="32" spans="1:5" x14ac:dyDescent="0.25">
      <c r="A32" s="5">
        <v>31</v>
      </c>
      <c r="B32" s="5" t="s">
        <v>115</v>
      </c>
      <c r="C32" s="5" t="s">
        <v>42</v>
      </c>
      <c r="D32" s="5" t="s">
        <v>111</v>
      </c>
      <c r="E32" s="6">
        <v>12000</v>
      </c>
    </row>
    <row r="33" spans="1:5" x14ac:dyDescent="0.25">
      <c r="A33" s="5">
        <v>32</v>
      </c>
      <c r="B33" s="5" t="s">
        <v>113</v>
      </c>
      <c r="C33" s="5" t="s">
        <v>24</v>
      </c>
      <c r="D33" s="5" t="s">
        <v>111</v>
      </c>
      <c r="E33" s="6">
        <v>8000</v>
      </c>
    </row>
    <row r="34" spans="1:5" x14ac:dyDescent="0.25">
      <c r="A34" s="5">
        <v>33</v>
      </c>
      <c r="B34" s="5" t="s">
        <v>113</v>
      </c>
      <c r="C34" s="5" t="s">
        <v>37</v>
      </c>
      <c r="D34" s="5" t="s">
        <v>112</v>
      </c>
      <c r="E34" s="6">
        <v>5000</v>
      </c>
    </row>
    <row r="35" spans="1:5" x14ac:dyDescent="0.25">
      <c r="A35" s="5">
        <v>34</v>
      </c>
      <c r="B35" s="5" t="s">
        <v>116</v>
      </c>
      <c r="C35" s="5" t="s">
        <v>56</v>
      </c>
      <c r="D35" s="5" t="s">
        <v>111</v>
      </c>
      <c r="E35" s="6">
        <v>13500</v>
      </c>
    </row>
    <row r="36" spans="1:5" x14ac:dyDescent="0.25">
      <c r="A36" s="5">
        <v>35</v>
      </c>
      <c r="B36" s="5" t="s">
        <v>116</v>
      </c>
      <c r="C36" s="5" t="s">
        <v>20</v>
      </c>
      <c r="D36" s="5" t="s">
        <v>111</v>
      </c>
      <c r="E36" s="6">
        <v>13500</v>
      </c>
    </row>
    <row r="37" spans="1:5" x14ac:dyDescent="0.25">
      <c r="A37" s="5">
        <v>36</v>
      </c>
      <c r="B37" s="5" t="s">
        <v>113</v>
      </c>
      <c r="C37" s="5" t="s">
        <v>56</v>
      </c>
      <c r="D37" s="5" t="s">
        <v>111</v>
      </c>
      <c r="E37" s="6">
        <v>3500</v>
      </c>
    </row>
    <row r="38" spans="1:5" x14ac:dyDescent="0.25">
      <c r="A38" s="5">
        <v>37</v>
      </c>
      <c r="B38" s="5" t="s">
        <v>115</v>
      </c>
      <c r="C38" s="5" t="s">
        <v>74</v>
      </c>
      <c r="D38" s="5" t="s">
        <v>112</v>
      </c>
      <c r="E38" s="6">
        <v>7500</v>
      </c>
    </row>
    <row r="39" spans="1:5" x14ac:dyDescent="0.25">
      <c r="A39" s="5">
        <v>38</v>
      </c>
      <c r="B39" s="5" t="s">
        <v>110</v>
      </c>
      <c r="C39" s="5" t="s">
        <v>50</v>
      </c>
      <c r="D39" s="5" t="s">
        <v>111</v>
      </c>
      <c r="E39" s="6">
        <v>10000</v>
      </c>
    </row>
    <row r="40" spans="1:5" x14ac:dyDescent="0.25">
      <c r="A40" s="5">
        <v>39</v>
      </c>
      <c r="B40" s="5" t="s">
        <v>116</v>
      </c>
      <c r="C40" s="5" t="s">
        <v>54</v>
      </c>
      <c r="D40" s="5" t="s">
        <v>111</v>
      </c>
      <c r="E40" s="6">
        <v>6500</v>
      </c>
    </row>
    <row r="41" spans="1:5" x14ac:dyDescent="0.25">
      <c r="A41" s="5">
        <v>40</v>
      </c>
      <c r="B41" s="5" t="s">
        <v>113</v>
      </c>
      <c r="C41" s="5" t="s">
        <v>76</v>
      </c>
      <c r="D41" s="5" t="s">
        <v>111</v>
      </c>
      <c r="E41" s="6">
        <v>2500</v>
      </c>
    </row>
    <row r="42" spans="1:5" x14ac:dyDescent="0.25">
      <c r="A42" s="5">
        <v>41</v>
      </c>
      <c r="B42" s="5" t="s">
        <v>113</v>
      </c>
      <c r="C42" s="5" t="s">
        <v>60</v>
      </c>
      <c r="D42" s="5" t="s">
        <v>112</v>
      </c>
      <c r="E42" s="6">
        <v>17500</v>
      </c>
    </row>
    <row r="43" spans="1:5" x14ac:dyDescent="0.25">
      <c r="A43" s="5">
        <v>42</v>
      </c>
      <c r="B43" s="5" t="s">
        <v>115</v>
      </c>
      <c r="C43" s="5" t="s">
        <v>68</v>
      </c>
      <c r="D43" s="5" t="s">
        <v>111</v>
      </c>
      <c r="E43" s="6">
        <v>8500</v>
      </c>
    </row>
    <row r="44" spans="1:5" x14ac:dyDescent="0.25">
      <c r="A44" s="5">
        <v>43</v>
      </c>
      <c r="B44" s="5" t="s">
        <v>117</v>
      </c>
      <c r="C44" s="5" t="s">
        <v>48</v>
      </c>
      <c r="D44" s="5" t="s">
        <v>111</v>
      </c>
      <c r="E44" s="6">
        <v>1500</v>
      </c>
    </row>
    <row r="45" spans="1:5" x14ac:dyDescent="0.25">
      <c r="A45" s="5">
        <v>44</v>
      </c>
      <c r="B45" s="5" t="s">
        <v>117</v>
      </c>
      <c r="C45" s="5" t="s">
        <v>37</v>
      </c>
      <c r="D45" s="5" t="s">
        <v>112</v>
      </c>
      <c r="E45" s="6">
        <v>11500</v>
      </c>
    </row>
    <row r="46" spans="1:5" x14ac:dyDescent="0.25">
      <c r="A46" s="5">
        <v>45</v>
      </c>
      <c r="B46" s="5" t="s">
        <v>110</v>
      </c>
      <c r="C46" s="5" t="s">
        <v>66</v>
      </c>
      <c r="D46" s="5" t="s">
        <v>111</v>
      </c>
      <c r="E46" s="6">
        <v>12500</v>
      </c>
    </row>
    <row r="47" spans="1:5" x14ac:dyDescent="0.25">
      <c r="A47" s="5">
        <v>46</v>
      </c>
      <c r="B47" s="5" t="s">
        <v>116</v>
      </c>
      <c r="C47" s="5" t="s">
        <v>98</v>
      </c>
      <c r="D47" s="5" t="s">
        <v>111</v>
      </c>
      <c r="E47" s="6">
        <v>1500</v>
      </c>
    </row>
    <row r="48" spans="1:5" x14ac:dyDescent="0.25">
      <c r="A48" s="5">
        <v>47</v>
      </c>
      <c r="B48" s="5" t="s">
        <v>115</v>
      </c>
      <c r="C48" s="5" t="s">
        <v>80</v>
      </c>
      <c r="D48" s="5" t="s">
        <v>111</v>
      </c>
      <c r="E48" s="6">
        <v>12000</v>
      </c>
    </row>
    <row r="49" spans="1:5" x14ac:dyDescent="0.25">
      <c r="A49" s="5">
        <v>48</v>
      </c>
      <c r="B49" s="5" t="s">
        <v>115</v>
      </c>
      <c r="C49" s="5" t="s">
        <v>80</v>
      </c>
      <c r="D49" s="5" t="s">
        <v>111</v>
      </c>
      <c r="E49" s="6">
        <v>10500</v>
      </c>
    </row>
    <row r="50" spans="1:5" x14ac:dyDescent="0.25">
      <c r="A50" s="5">
        <v>49</v>
      </c>
      <c r="B50" s="5" t="s">
        <v>114</v>
      </c>
      <c r="C50" s="5" t="s">
        <v>39</v>
      </c>
      <c r="D50" s="5" t="s">
        <v>111</v>
      </c>
      <c r="E50" s="6">
        <v>16500</v>
      </c>
    </row>
    <row r="51" spans="1:5" x14ac:dyDescent="0.25">
      <c r="A51" s="5">
        <v>50</v>
      </c>
      <c r="B51" s="5" t="s">
        <v>114</v>
      </c>
      <c r="C51" s="5" t="s">
        <v>64</v>
      </c>
      <c r="D51" s="5" t="s">
        <v>112</v>
      </c>
      <c r="E51" s="6">
        <v>10500</v>
      </c>
    </row>
    <row r="52" spans="1:5" x14ac:dyDescent="0.25">
      <c r="A52" s="5">
        <v>51</v>
      </c>
      <c r="B52" s="5" t="s">
        <v>114</v>
      </c>
      <c r="C52" s="5" t="s">
        <v>76</v>
      </c>
      <c r="D52" s="5" t="s">
        <v>111</v>
      </c>
      <c r="E52" s="6">
        <v>18000</v>
      </c>
    </row>
    <row r="53" spans="1:5" x14ac:dyDescent="0.25">
      <c r="A53" s="5">
        <v>52</v>
      </c>
      <c r="B53" s="5" t="s">
        <v>116</v>
      </c>
      <c r="C53" s="5" t="s">
        <v>42</v>
      </c>
      <c r="D53" s="5" t="s">
        <v>112</v>
      </c>
      <c r="E53" s="6">
        <v>12500</v>
      </c>
    </row>
    <row r="54" spans="1:5" x14ac:dyDescent="0.25">
      <c r="A54" s="5">
        <v>53</v>
      </c>
      <c r="B54" s="5" t="s">
        <v>117</v>
      </c>
      <c r="C54" s="5" t="s">
        <v>48</v>
      </c>
      <c r="D54" s="5" t="s">
        <v>111</v>
      </c>
      <c r="E54" s="6">
        <v>13000</v>
      </c>
    </row>
    <row r="55" spans="1:5" x14ac:dyDescent="0.25">
      <c r="A55" s="5">
        <v>54</v>
      </c>
      <c r="B55" s="5" t="s">
        <v>115</v>
      </c>
      <c r="C55" s="5" t="s">
        <v>96</v>
      </c>
      <c r="D55" s="5" t="s">
        <v>111</v>
      </c>
      <c r="E55" s="6">
        <v>9500</v>
      </c>
    </row>
    <row r="56" spans="1:5" x14ac:dyDescent="0.25">
      <c r="A56" s="5">
        <v>55</v>
      </c>
      <c r="B56" s="5" t="s">
        <v>110</v>
      </c>
      <c r="C56" s="5" t="s">
        <v>52</v>
      </c>
      <c r="D56" s="5" t="s">
        <v>111</v>
      </c>
      <c r="E56" s="6">
        <v>15000</v>
      </c>
    </row>
    <row r="57" spans="1:5" x14ac:dyDescent="0.25">
      <c r="A57" s="5">
        <v>56</v>
      </c>
      <c r="B57" s="5" t="s">
        <v>110</v>
      </c>
      <c r="C57" s="5" t="s">
        <v>82</v>
      </c>
      <c r="D57" s="5" t="s">
        <v>111</v>
      </c>
      <c r="E57" s="6">
        <v>16500</v>
      </c>
    </row>
    <row r="58" spans="1:5" x14ac:dyDescent="0.25">
      <c r="A58" s="5">
        <v>57</v>
      </c>
      <c r="B58" s="5" t="s">
        <v>114</v>
      </c>
      <c r="C58" s="5" t="s">
        <v>86</v>
      </c>
      <c r="D58" s="5" t="s">
        <v>111</v>
      </c>
      <c r="E58" s="6">
        <v>3000</v>
      </c>
    </row>
    <row r="59" spans="1:5" x14ac:dyDescent="0.25">
      <c r="A59" s="5">
        <v>58</v>
      </c>
      <c r="B59" s="5" t="s">
        <v>117</v>
      </c>
      <c r="C59" s="5" t="s">
        <v>62</v>
      </c>
      <c r="D59" s="5" t="s">
        <v>111</v>
      </c>
      <c r="E59" s="6">
        <v>3000</v>
      </c>
    </row>
    <row r="60" spans="1:5" x14ac:dyDescent="0.25">
      <c r="A60" s="5">
        <v>59</v>
      </c>
      <c r="B60" s="5" t="s">
        <v>114</v>
      </c>
      <c r="C60" s="5" t="s">
        <v>56</v>
      </c>
      <c r="D60" s="5" t="s">
        <v>111</v>
      </c>
      <c r="E60" s="6">
        <v>7500</v>
      </c>
    </row>
    <row r="61" spans="1:5" x14ac:dyDescent="0.25">
      <c r="A61" s="5">
        <v>60</v>
      </c>
      <c r="B61" s="5" t="s">
        <v>116</v>
      </c>
      <c r="C61" s="5" t="s">
        <v>50</v>
      </c>
      <c r="D61" s="5" t="s">
        <v>111</v>
      </c>
      <c r="E61" s="6">
        <v>1500</v>
      </c>
    </row>
    <row r="62" spans="1:5" x14ac:dyDescent="0.25">
      <c r="A62" s="5">
        <v>61</v>
      </c>
      <c r="B62" s="5" t="s">
        <v>110</v>
      </c>
      <c r="C62" s="5" t="s">
        <v>56</v>
      </c>
      <c r="D62" s="5" t="s">
        <v>111</v>
      </c>
      <c r="E62" s="6">
        <v>15000</v>
      </c>
    </row>
    <row r="63" spans="1:5" x14ac:dyDescent="0.25">
      <c r="A63" s="5">
        <v>62</v>
      </c>
      <c r="B63" s="5" t="s">
        <v>114</v>
      </c>
      <c r="C63" s="5" t="s">
        <v>78</v>
      </c>
      <c r="D63" s="5" t="s">
        <v>111</v>
      </c>
      <c r="E63" s="6">
        <v>12500</v>
      </c>
    </row>
    <row r="64" spans="1:5" x14ac:dyDescent="0.25">
      <c r="A64" s="5">
        <v>63</v>
      </c>
      <c r="B64" s="5" t="s">
        <v>110</v>
      </c>
      <c r="C64" s="5" t="s">
        <v>88</v>
      </c>
      <c r="D64" s="5" t="s">
        <v>111</v>
      </c>
      <c r="E64" s="6">
        <v>5000</v>
      </c>
    </row>
    <row r="65" spans="1:5" x14ac:dyDescent="0.25">
      <c r="A65" s="5">
        <v>64</v>
      </c>
      <c r="B65" s="5" t="s">
        <v>115</v>
      </c>
      <c r="C65" s="5" t="s">
        <v>16</v>
      </c>
      <c r="D65" s="5" t="s">
        <v>112</v>
      </c>
      <c r="E65" s="6">
        <v>7500</v>
      </c>
    </row>
    <row r="66" spans="1:5" x14ac:dyDescent="0.25">
      <c r="A66" s="5">
        <v>65</v>
      </c>
      <c r="B66" s="5" t="s">
        <v>114</v>
      </c>
      <c r="C66" s="5" t="s">
        <v>48</v>
      </c>
      <c r="D66" s="5" t="s">
        <v>112</v>
      </c>
      <c r="E66" s="6">
        <v>2000</v>
      </c>
    </row>
    <row r="67" spans="1:5" x14ac:dyDescent="0.25">
      <c r="A67" s="5">
        <v>66</v>
      </c>
      <c r="B67" s="5" t="s">
        <v>116</v>
      </c>
      <c r="C67" s="5" t="s">
        <v>96</v>
      </c>
      <c r="D67" s="5" t="s">
        <v>111</v>
      </c>
      <c r="E67" s="6">
        <v>15000</v>
      </c>
    </row>
    <row r="68" spans="1:5" x14ac:dyDescent="0.25">
      <c r="A68" s="5">
        <v>67</v>
      </c>
      <c r="B68" s="5" t="s">
        <v>110</v>
      </c>
      <c r="C68" s="5" t="s">
        <v>42</v>
      </c>
      <c r="D68" s="5" t="s">
        <v>111</v>
      </c>
      <c r="E68" s="6">
        <v>14500</v>
      </c>
    </row>
    <row r="69" spans="1:5" x14ac:dyDescent="0.25">
      <c r="A69" s="5">
        <v>68</v>
      </c>
      <c r="B69" s="5" t="s">
        <v>114</v>
      </c>
      <c r="C69" s="5" t="s">
        <v>104</v>
      </c>
      <c r="D69" s="5" t="s">
        <v>112</v>
      </c>
      <c r="E69" s="6">
        <v>18000</v>
      </c>
    </row>
    <row r="70" spans="1:5" x14ac:dyDescent="0.25">
      <c r="A70" s="5">
        <v>69</v>
      </c>
      <c r="B70" s="5" t="s">
        <v>116</v>
      </c>
      <c r="C70" s="5" t="s">
        <v>82</v>
      </c>
      <c r="D70" s="5" t="s">
        <v>112</v>
      </c>
      <c r="E70" s="6">
        <v>14500</v>
      </c>
    </row>
    <row r="71" spans="1:5" x14ac:dyDescent="0.25">
      <c r="A71" s="5">
        <v>70</v>
      </c>
      <c r="B71" s="5" t="s">
        <v>116</v>
      </c>
      <c r="C71" s="5" t="s">
        <v>58</v>
      </c>
      <c r="D71" s="5" t="s">
        <v>111</v>
      </c>
      <c r="E71" s="6">
        <v>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3.8" x14ac:dyDescent="0.25"/>
  <cols>
    <col min="1" max="1" width="12" customWidth="1"/>
    <col min="2" max="3" width="14" customWidth="1"/>
    <col min="4" max="4" width="12" customWidth="1"/>
    <col min="5" max="5" width="18" customWidth="1"/>
  </cols>
  <sheetData>
    <row r="1" spans="1:5" x14ac:dyDescent="0.25">
      <c r="A1" s="4" t="s">
        <v>118</v>
      </c>
      <c r="B1" s="4" t="s">
        <v>10</v>
      </c>
      <c r="C1" s="4" t="s">
        <v>119</v>
      </c>
      <c r="D1" s="4" t="s">
        <v>120</v>
      </c>
      <c r="E1" s="4" t="s">
        <v>121</v>
      </c>
    </row>
    <row r="2" spans="1:5" x14ac:dyDescent="0.25">
      <c r="A2" s="5" t="s">
        <v>122</v>
      </c>
      <c r="B2" s="5" t="s">
        <v>88</v>
      </c>
      <c r="C2" s="5" t="s">
        <v>123</v>
      </c>
      <c r="D2" s="6">
        <v>25000</v>
      </c>
      <c r="E2" s="5">
        <v>6</v>
      </c>
    </row>
    <row r="3" spans="1:5" x14ac:dyDescent="0.25">
      <c r="A3" s="5" t="s">
        <v>124</v>
      </c>
      <c r="B3" s="5" t="s">
        <v>60</v>
      </c>
      <c r="C3" s="5" t="s">
        <v>125</v>
      </c>
      <c r="D3" s="6">
        <v>129000</v>
      </c>
      <c r="E3" s="5">
        <v>6.5</v>
      </c>
    </row>
    <row r="4" spans="1:5" x14ac:dyDescent="0.25">
      <c r="A4" s="5" t="s">
        <v>126</v>
      </c>
      <c r="B4" s="5" t="s">
        <v>62</v>
      </c>
      <c r="C4" s="5" t="s">
        <v>125</v>
      </c>
      <c r="D4" s="6">
        <v>328000</v>
      </c>
      <c r="E4" s="5">
        <v>6.5</v>
      </c>
    </row>
    <row r="5" spans="1:5" x14ac:dyDescent="0.25">
      <c r="A5" s="5" t="s">
        <v>127</v>
      </c>
      <c r="B5" s="5" t="s">
        <v>68</v>
      </c>
      <c r="C5" s="5" t="s">
        <v>125</v>
      </c>
      <c r="D5" s="6">
        <v>132000</v>
      </c>
      <c r="E5" s="5">
        <v>6.5</v>
      </c>
    </row>
    <row r="6" spans="1:5" x14ac:dyDescent="0.25">
      <c r="A6" s="5" t="s">
        <v>128</v>
      </c>
      <c r="B6" s="5" t="s">
        <v>42</v>
      </c>
      <c r="C6" s="5" t="s">
        <v>125</v>
      </c>
      <c r="D6" s="6">
        <v>286000</v>
      </c>
      <c r="E6" s="5">
        <v>6.5</v>
      </c>
    </row>
    <row r="7" spans="1:5" x14ac:dyDescent="0.25">
      <c r="A7" s="5" t="s">
        <v>129</v>
      </c>
      <c r="B7" s="5" t="s">
        <v>74</v>
      </c>
      <c r="C7" s="5" t="s">
        <v>123</v>
      </c>
      <c r="D7" s="6">
        <v>19000</v>
      </c>
      <c r="E7" s="5">
        <v>6</v>
      </c>
    </row>
    <row r="8" spans="1:5" x14ac:dyDescent="0.25">
      <c r="A8" s="5" t="s">
        <v>130</v>
      </c>
      <c r="B8" s="5" t="s">
        <v>52</v>
      </c>
      <c r="C8" s="5" t="s">
        <v>125</v>
      </c>
      <c r="D8" s="6">
        <v>474000</v>
      </c>
      <c r="E8" s="5">
        <v>6.5</v>
      </c>
    </row>
    <row r="9" spans="1:5" x14ac:dyDescent="0.25">
      <c r="A9" s="5" t="s">
        <v>131</v>
      </c>
      <c r="B9" s="5" t="s">
        <v>78</v>
      </c>
      <c r="C9" s="5" t="s">
        <v>125</v>
      </c>
      <c r="D9" s="6">
        <v>527000</v>
      </c>
      <c r="E9" s="5">
        <v>6.5</v>
      </c>
    </row>
    <row r="10" spans="1:5" x14ac:dyDescent="0.25">
      <c r="A10" s="5" t="s">
        <v>132</v>
      </c>
      <c r="B10" s="5" t="s">
        <v>78</v>
      </c>
      <c r="C10" s="5" t="s">
        <v>125</v>
      </c>
      <c r="D10" s="6">
        <v>261000</v>
      </c>
      <c r="E10" s="5">
        <v>6.5</v>
      </c>
    </row>
    <row r="11" spans="1:5" x14ac:dyDescent="0.25">
      <c r="A11" s="5" t="s">
        <v>133</v>
      </c>
      <c r="B11" s="5" t="s">
        <v>78</v>
      </c>
      <c r="C11" s="5" t="s">
        <v>125</v>
      </c>
      <c r="D11" s="6">
        <v>70000</v>
      </c>
      <c r="E11" s="5">
        <v>6.5</v>
      </c>
    </row>
    <row r="12" spans="1:5" x14ac:dyDescent="0.25">
      <c r="A12" s="5" t="s">
        <v>134</v>
      </c>
      <c r="B12" s="5" t="s">
        <v>98</v>
      </c>
      <c r="C12" s="5" t="s">
        <v>125</v>
      </c>
      <c r="D12" s="6">
        <v>538000</v>
      </c>
      <c r="E12" s="5">
        <v>6.5</v>
      </c>
    </row>
    <row r="13" spans="1:5" x14ac:dyDescent="0.25">
      <c r="A13" s="5" t="s">
        <v>135</v>
      </c>
      <c r="B13" s="5" t="s">
        <v>16</v>
      </c>
      <c r="C13" s="5" t="s">
        <v>125</v>
      </c>
      <c r="D13" s="6">
        <v>355000</v>
      </c>
      <c r="E13" s="5">
        <v>6.5</v>
      </c>
    </row>
    <row r="14" spans="1:5" x14ac:dyDescent="0.25">
      <c r="A14" s="5" t="s">
        <v>136</v>
      </c>
      <c r="B14" s="5" t="s">
        <v>74</v>
      </c>
      <c r="C14" s="5" t="s">
        <v>125</v>
      </c>
      <c r="D14" s="6">
        <v>275000</v>
      </c>
      <c r="E14" s="5">
        <v>6.5</v>
      </c>
    </row>
    <row r="15" spans="1:5" x14ac:dyDescent="0.25">
      <c r="A15" s="5" t="s">
        <v>137</v>
      </c>
      <c r="B15" s="5" t="s">
        <v>88</v>
      </c>
      <c r="C15" s="5" t="s">
        <v>125</v>
      </c>
      <c r="D15" s="6">
        <v>329000</v>
      </c>
      <c r="E15" s="5">
        <v>6.5</v>
      </c>
    </row>
    <row r="16" spans="1:5" x14ac:dyDescent="0.25">
      <c r="A16" s="5" t="s">
        <v>138</v>
      </c>
      <c r="B16" s="5" t="s">
        <v>80</v>
      </c>
      <c r="C16" s="5" t="s">
        <v>125</v>
      </c>
      <c r="D16" s="6">
        <v>79000</v>
      </c>
      <c r="E16" s="5">
        <v>6.5</v>
      </c>
    </row>
    <row r="17" spans="1:5" x14ac:dyDescent="0.25">
      <c r="A17" s="5" t="s">
        <v>139</v>
      </c>
      <c r="B17" s="5" t="s">
        <v>74</v>
      </c>
      <c r="C17" s="5" t="s">
        <v>125</v>
      </c>
      <c r="D17" s="6">
        <v>464000</v>
      </c>
      <c r="E17" s="5">
        <v>6.5</v>
      </c>
    </row>
    <row r="18" spans="1:5" x14ac:dyDescent="0.25">
      <c r="A18" s="5" t="s">
        <v>140</v>
      </c>
      <c r="B18" s="5" t="s">
        <v>46</v>
      </c>
      <c r="C18" s="5" t="s">
        <v>125</v>
      </c>
      <c r="D18" s="6">
        <v>180000</v>
      </c>
      <c r="E18" s="5">
        <v>6.5</v>
      </c>
    </row>
    <row r="19" spans="1:5" x14ac:dyDescent="0.25">
      <c r="A19" s="5" t="s">
        <v>141</v>
      </c>
      <c r="B19" s="5" t="s">
        <v>104</v>
      </c>
      <c r="C19" s="5" t="s">
        <v>123</v>
      </c>
      <c r="D19" s="6">
        <v>11000</v>
      </c>
      <c r="E19" s="5">
        <v>6</v>
      </c>
    </row>
    <row r="20" spans="1:5" x14ac:dyDescent="0.25">
      <c r="A20" s="5" t="s">
        <v>142</v>
      </c>
      <c r="B20" s="5" t="s">
        <v>76</v>
      </c>
      <c r="C20" s="5" t="s">
        <v>123</v>
      </c>
      <c r="D20" s="6">
        <v>46000</v>
      </c>
      <c r="E20" s="5">
        <v>6</v>
      </c>
    </row>
    <row r="21" spans="1:5" x14ac:dyDescent="0.25">
      <c r="A21" s="5" t="s">
        <v>143</v>
      </c>
      <c r="B21" s="5" t="s">
        <v>20</v>
      </c>
      <c r="C21" s="5" t="s">
        <v>125</v>
      </c>
      <c r="D21" s="6">
        <v>488000</v>
      </c>
      <c r="E21" s="5">
        <v>6.5</v>
      </c>
    </row>
    <row r="22" spans="1:5" x14ac:dyDescent="0.25">
      <c r="A22" s="5" t="s">
        <v>144</v>
      </c>
      <c r="B22" s="5" t="s">
        <v>42</v>
      </c>
      <c r="C22" s="5" t="s">
        <v>125</v>
      </c>
      <c r="D22" s="6">
        <v>236000</v>
      </c>
      <c r="E22" s="5">
        <v>6.5</v>
      </c>
    </row>
    <row r="23" spans="1:5" x14ac:dyDescent="0.25">
      <c r="A23" s="5" t="s">
        <v>145</v>
      </c>
      <c r="B23" s="5" t="s">
        <v>27</v>
      </c>
      <c r="C23" s="5" t="s">
        <v>125</v>
      </c>
      <c r="D23" s="6">
        <v>438000</v>
      </c>
      <c r="E23" s="5">
        <v>6.5</v>
      </c>
    </row>
    <row r="24" spans="1:5" x14ac:dyDescent="0.25">
      <c r="A24" s="5" t="s">
        <v>146</v>
      </c>
      <c r="B24" s="5" t="s">
        <v>66</v>
      </c>
      <c r="C24" s="5" t="s">
        <v>125</v>
      </c>
      <c r="D24" s="6">
        <v>515000</v>
      </c>
      <c r="E24" s="5">
        <v>6.5</v>
      </c>
    </row>
    <row r="25" spans="1:5" x14ac:dyDescent="0.25">
      <c r="A25" s="5" t="s">
        <v>147</v>
      </c>
      <c r="B25" s="5" t="s">
        <v>66</v>
      </c>
      <c r="C25" s="5" t="s">
        <v>125</v>
      </c>
      <c r="D25" s="6">
        <v>438000</v>
      </c>
      <c r="E25" s="5">
        <v>6.5</v>
      </c>
    </row>
    <row r="26" spans="1:5" x14ac:dyDescent="0.25">
      <c r="A26" s="5" t="s">
        <v>148</v>
      </c>
      <c r="B26" s="5" t="s">
        <v>60</v>
      </c>
      <c r="C26" s="5" t="s">
        <v>125</v>
      </c>
      <c r="D26" s="6">
        <v>308000</v>
      </c>
      <c r="E26" s="5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3.8" x14ac:dyDescent="0.25"/>
  <cols>
    <col min="1" max="1" width="5" customWidth="1"/>
    <col min="2" max="2" width="80" customWidth="1"/>
    <col min="5" max="5" width="22" customWidth="1"/>
    <col min="6" max="6" width="16" customWidth="1"/>
  </cols>
  <sheetData>
    <row r="1" spans="1:6" ht="17.399999999999999" x14ac:dyDescent="0.3">
      <c r="A1" s="1" t="s">
        <v>149</v>
      </c>
    </row>
    <row r="2" spans="1:6" x14ac:dyDescent="0.25">
      <c r="A2" s="3" t="s">
        <v>150</v>
      </c>
      <c r="B2" s="3" t="s">
        <v>151</v>
      </c>
      <c r="E2" s="3" t="s">
        <v>152</v>
      </c>
    </row>
    <row r="3" spans="1:6" x14ac:dyDescent="0.25">
      <c r="A3" s="2" t="s">
        <v>153</v>
      </c>
      <c r="B3" s="7" t="s">
        <v>154</v>
      </c>
      <c r="E3" s="8"/>
    </row>
    <row r="4" spans="1:6" x14ac:dyDescent="0.25">
      <c r="A4" s="2" t="s">
        <v>155</v>
      </c>
      <c r="B4" s="7" t="s">
        <v>156</v>
      </c>
      <c r="E4" s="8"/>
    </row>
    <row r="5" spans="1:6" x14ac:dyDescent="0.25">
      <c r="A5" s="2" t="s">
        <v>157</v>
      </c>
      <c r="B5" s="7" t="s">
        <v>158</v>
      </c>
      <c r="E5" s="8"/>
    </row>
    <row r="6" spans="1:6" x14ac:dyDescent="0.25">
      <c r="A6" s="2" t="s">
        <v>159</v>
      </c>
      <c r="B6" s="7" t="s">
        <v>160</v>
      </c>
      <c r="E6" s="8"/>
    </row>
    <row r="7" spans="1:6" x14ac:dyDescent="0.25">
      <c r="A7" s="2" t="s">
        <v>161</v>
      </c>
      <c r="B7" s="7" t="s">
        <v>162</v>
      </c>
      <c r="E7" s="8"/>
    </row>
    <row r="8" spans="1:6" x14ac:dyDescent="0.25">
      <c r="A8" s="2" t="s">
        <v>163</v>
      </c>
      <c r="B8" s="7" t="s">
        <v>164</v>
      </c>
      <c r="E8" s="8"/>
    </row>
    <row r="9" spans="1:6" x14ac:dyDescent="0.25">
      <c r="A9" s="2" t="s">
        <v>165</v>
      </c>
      <c r="B9" s="7" t="s">
        <v>166</v>
      </c>
      <c r="E9" s="8"/>
    </row>
    <row r="10" spans="1:6" x14ac:dyDescent="0.25">
      <c r="A10" s="2" t="s">
        <v>167</v>
      </c>
      <c r="B10" s="7" t="s">
        <v>168</v>
      </c>
      <c r="E10" s="8"/>
    </row>
    <row r="11" spans="1:6" x14ac:dyDescent="0.25">
      <c r="A11" s="2" t="s">
        <v>169</v>
      </c>
      <c r="B11" s="7" t="s">
        <v>170</v>
      </c>
      <c r="E11" s="8"/>
    </row>
    <row r="12" spans="1:6" x14ac:dyDescent="0.25">
      <c r="A12" s="2" t="s">
        <v>171</v>
      </c>
      <c r="B12" s="7" t="s">
        <v>172</v>
      </c>
      <c r="E12" s="8"/>
    </row>
    <row r="13" spans="1:6" x14ac:dyDescent="0.25">
      <c r="A13" s="2" t="s">
        <v>173</v>
      </c>
      <c r="B13" s="7" t="s">
        <v>174</v>
      </c>
      <c r="E13" s="8"/>
      <c r="F13" s="8"/>
    </row>
    <row r="14" spans="1:6" ht="27.6" x14ac:dyDescent="0.25">
      <c r="A14" s="2" t="s">
        <v>175</v>
      </c>
      <c r="B14" s="7" t="s">
        <v>176</v>
      </c>
      <c r="E14" s="8"/>
    </row>
    <row r="16" spans="1:6" x14ac:dyDescent="0.25">
      <c r="B16" s="2" t="s">
        <v>177</v>
      </c>
    </row>
    <row r="17" spans="2:2" x14ac:dyDescent="0.25">
      <c r="B17" s="2" t="s">
        <v>178</v>
      </c>
    </row>
    <row r="18" spans="2:2" x14ac:dyDescent="0.25">
      <c r="B18" s="2" t="s">
        <v>179</v>
      </c>
    </row>
    <row r="19" spans="2:2" x14ac:dyDescent="0.25">
      <c r="B19" s="2" t="s">
        <v>180</v>
      </c>
    </row>
    <row r="20" spans="2:2" x14ac:dyDescent="0.25">
      <c r="B20" s="2" t="s">
        <v>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/>
  </sheetViews>
  <sheetFormatPr defaultRowHeight="13.8" x14ac:dyDescent="0.25"/>
  <cols>
    <col min="1" max="1" width="5" customWidth="1"/>
    <col min="2" max="2" width="80" customWidth="1"/>
    <col min="5" max="5" width="22" customWidth="1"/>
    <col min="6" max="6" width="16" customWidth="1"/>
  </cols>
  <sheetData>
    <row r="1" spans="1:6" ht="17.399999999999999" x14ac:dyDescent="0.3">
      <c r="A1" s="1" t="s">
        <v>182</v>
      </c>
    </row>
    <row r="2" spans="1:6" x14ac:dyDescent="0.25">
      <c r="A2" s="3" t="s">
        <v>150</v>
      </c>
      <c r="B2" s="3" t="s">
        <v>151</v>
      </c>
      <c r="E2" s="3" t="s">
        <v>152</v>
      </c>
    </row>
    <row r="3" spans="1:6" x14ac:dyDescent="0.25">
      <c r="A3" s="2" t="s">
        <v>153</v>
      </c>
      <c r="B3" s="7" t="s">
        <v>154</v>
      </c>
      <c r="E3" s="5" t="str">
        <f>VLOOKUP("PYW1008",สมาชิก!A:F,2,FALSE)</f>
        <v>ศิริพร คำภา</v>
      </c>
    </row>
    <row r="4" spans="1:6" x14ac:dyDescent="0.25">
      <c r="A4" s="2" t="s">
        <v>155</v>
      </c>
      <c r="B4" s="7" t="s">
        <v>156</v>
      </c>
      <c r="E4" s="5">
        <f>VLOOKUP("PYW1020",สมาชิก!A:F,5,FALSE)</f>
        <v>40000</v>
      </c>
    </row>
    <row r="5" spans="1:6" x14ac:dyDescent="0.25">
      <c r="A5" s="2" t="s">
        <v>157</v>
      </c>
      <c r="B5" s="7" t="s">
        <v>158</v>
      </c>
      <c r="E5" s="5" t="str">
        <f>IFERROR(VLOOKUP("XXX9999",สมาชิก!A:F,2,FALSE),"ไม่พบสมาชิก")</f>
        <v>ไม่พบสมาชิก</v>
      </c>
    </row>
    <row r="6" spans="1:6" x14ac:dyDescent="0.25">
      <c r="A6" s="2" t="s">
        <v>159</v>
      </c>
      <c r="B6" s="7" t="s">
        <v>160</v>
      </c>
      <c r="E6" s="5">
        <f>SUMIF(เงินฝาก!C:C,"PYW1008",เงินฝาก!E:E)</f>
        <v>35500</v>
      </c>
    </row>
    <row r="7" spans="1:6" x14ac:dyDescent="0.25">
      <c r="A7" s="2" t="s">
        <v>161</v>
      </c>
      <c r="B7" s="7" t="s">
        <v>162</v>
      </c>
      <c r="E7" s="5">
        <f>SUMIF(เงินฝาก!D:D,"ประจำ",เงินฝาก!E:E)</f>
        <v>181000</v>
      </c>
    </row>
    <row r="8" spans="1:6" x14ac:dyDescent="0.25">
      <c r="A8" s="2" t="s">
        <v>163</v>
      </c>
      <c r="B8" s="7" t="s">
        <v>164</v>
      </c>
      <c r="E8" s="5">
        <f>COUNTIF(เงินฝาก!D:D,"ออมทรัพย์")</f>
        <v>54</v>
      </c>
    </row>
    <row r="9" spans="1:6" x14ac:dyDescent="0.25">
      <c r="A9" s="2" t="s">
        <v>165</v>
      </c>
      <c r="B9" s="7" t="s">
        <v>166</v>
      </c>
      <c r="E9" s="5">
        <f>COUNTIF(สมาชิก!E:E,"&gt;=30000")</f>
        <v>19</v>
      </c>
    </row>
    <row r="10" spans="1:6" x14ac:dyDescent="0.25">
      <c r="A10" s="2" t="s">
        <v>167</v>
      </c>
      <c r="B10" s="7" t="s">
        <v>168</v>
      </c>
      <c r="E10" s="5">
        <f>SUMIFS(เงินฝาก!E:E,เงินฝาก!C:C,"PYW1008",เงินฝาก!D:D,"ออมทรัพย์")</f>
        <v>35500</v>
      </c>
    </row>
    <row r="11" spans="1:6" x14ac:dyDescent="0.25">
      <c r="A11" s="2" t="s">
        <v>169</v>
      </c>
      <c r="B11" s="7" t="s">
        <v>170</v>
      </c>
      <c r="E11" s="5">
        <f>COUNTIFS(เงินกู้!C:C,"สามัญ",เงินกู้!D:D,"&gt;200000")</f>
        <v>16</v>
      </c>
    </row>
    <row r="12" spans="1:6" x14ac:dyDescent="0.25">
      <c r="A12" s="2" t="s">
        <v>171</v>
      </c>
      <c r="B12" s="7" t="s">
        <v>172</v>
      </c>
      <c r="E12" s="5">
        <f>AVERAGE(เงินฝาก!E2:E71)</f>
        <v>10592.857142857143</v>
      </c>
    </row>
    <row r="13" spans="1:6" x14ac:dyDescent="0.25">
      <c r="A13" s="2" t="s">
        <v>173</v>
      </c>
      <c r="B13" s="7" t="s">
        <v>174</v>
      </c>
      <c r="E13" s="5">
        <f>MAX(เงินกู้!D2:D26)</f>
        <v>538000</v>
      </c>
      <c r="F13" s="5">
        <f>MIN(เงินกู้!D2:D26)</f>
        <v>11000</v>
      </c>
    </row>
    <row r="14" spans="1:6" ht="27.6" x14ac:dyDescent="0.25">
      <c r="A14" s="2" t="s">
        <v>175</v>
      </c>
      <c r="B14" s="7" t="s">
        <v>176</v>
      </c>
      <c r="E14" s="5" t="str">
        <f>IF(E4&gt;=30000,"กู้สามัญได้","กู้ฉุกเฉินเท่านั้น")</f>
        <v>กู้สามัญได้</v>
      </c>
    </row>
    <row r="16" spans="1:6" x14ac:dyDescent="0.25">
      <c r="B16" s="2" t="s">
        <v>177</v>
      </c>
    </row>
    <row r="17" spans="2:5" x14ac:dyDescent="0.25">
      <c r="B17" s="2" t="s">
        <v>178</v>
      </c>
    </row>
    <row r="18" spans="2:5" x14ac:dyDescent="0.25">
      <c r="B18" s="2" t="s">
        <v>179</v>
      </c>
    </row>
    <row r="19" spans="2:5" x14ac:dyDescent="0.25">
      <c r="B19" s="2" t="s">
        <v>180</v>
      </c>
    </row>
    <row r="20" spans="2:5" x14ac:dyDescent="0.25">
      <c r="B20" s="2" t="s">
        <v>181</v>
      </c>
    </row>
    <row r="22" spans="2:5" x14ac:dyDescent="0.25">
      <c r="B22" s="3" t="s">
        <v>183</v>
      </c>
    </row>
    <row r="23" spans="2:5" x14ac:dyDescent="0.25">
      <c r="B23" s="9" t="s">
        <v>107</v>
      </c>
      <c r="C23" s="9" t="s">
        <v>111</v>
      </c>
      <c r="D23" s="9" t="s">
        <v>112</v>
      </c>
      <c r="E23" s="9" t="s">
        <v>184</v>
      </c>
    </row>
    <row r="24" spans="2:5" x14ac:dyDescent="0.25">
      <c r="B24" s="5" t="s">
        <v>115</v>
      </c>
      <c r="C24" s="6">
        <f>SUMIFS(เงินฝาก!E:E,เงินฝาก!B:B,"01/2569",เงินฝาก!D:D,"ออมทรัพย์")</f>
        <v>100500</v>
      </c>
      <c r="D24" s="6">
        <f>SUMIFS(เงินฝาก!E:E,เงินฝาก!B:B,"01/2569",เงินฝาก!D:D,"ประจำ")</f>
        <v>40500</v>
      </c>
      <c r="E24" s="6">
        <f t="shared" ref="E24:E29" si="0">C24+D24</f>
        <v>141000</v>
      </c>
    </row>
    <row r="25" spans="2:5" x14ac:dyDescent="0.25">
      <c r="B25" s="5" t="s">
        <v>116</v>
      </c>
      <c r="C25" s="6">
        <f>SUMIFS(เงินฝาก!E:E,เงินฝาก!B:B,"02/2569",เงินฝาก!D:D,"ออมทรัพย์")</f>
        <v>109000</v>
      </c>
      <c r="D25" s="6">
        <f>SUMIFS(เงินฝาก!E:E,เงินฝาก!B:B,"02/2569",เงินฝาก!D:D,"ประจำ")</f>
        <v>62500</v>
      </c>
      <c r="E25" s="6">
        <f t="shared" si="0"/>
        <v>171500</v>
      </c>
    </row>
    <row r="26" spans="2:5" x14ac:dyDescent="0.25">
      <c r="B26" s="5" t="s">
        <v>113</v>
      </c>
      <c r="C26" s="6">
        <f>SUMIFS(เงินฝาก!E:E,เงินฝาก!B:B,"03/2569",เงินฝาก!D:D,"ออมทรัพย์")</f>
        <v>50000</v>
      </c>
      <c r="D26" s="6">
        <f>SUMIFS(เงินฝาก!E:E,เงินฝาก!B:B,"03/2569",เงินฝาก!D:D,"ประจำ")</f>
        <v>22500</v>
      </c>
      <c r="E26" s="6">
        <f t="shared" si="0"/>
        <v>72500</v>
      </c>
    </row>
    <row r="27" spans="2:5" x14ac:dyDescent="0.25">
      <c r="B27" s="5" t="s">
        <v>110</v>
      </c>
      <c r="C27" s="6">
        <f>SUMIFS(เงินฝาก!E:E,เงินฝาก!B:B,"04/2569",เงินฝาก!D:D,"ออมทรัพย์")</f>
        <v>113500</v>
      </c>
      <c r="D27" s="6">
        <f>SUMIFS(เงินฝาก!E:E,เงินฝาก!B:B,"04/2569",เงินฝาก!D:D,"ประจำ")</f>
        <v>5000</v>
      </c>
      <c r="E27" s="6">
        <f t="shared" si="0"/>
        <v>118500</v>
      </c>
    </row>
    <row r="28" spans="2:5" x14ac:dyDescent="0.25">
      <c r="B28" s="5" t="s">
        <v>117</v>
      </c>
      <c r="C28" s="6">
        <f>SUMIFS(เงินฝาก!E:E,เงินฝาก!B:B,"05/2569",เงินฝาก!D:D,"ออมทรัพย์")</f>
        <v>69500</v>
      </c>
      <c r="D28" s="6">
        <f>SUMIFS(เงินฝาก!E:E,เงินฝาก!B:B,"05/2569",เงินฝาก!D:D,"ประจำ")</f>
        <v>20000</v>
      </c>
      <c r="E28" s="6">
        <f t="shared" si="0"/>
        <v>89500</v>
      </c>
    </row>
    <row r="29" spans="2:5" x14ac:dyDescent="0.25">
      <c r="B29" s="5" t="s">
        <v>114</v>
      </c>
      <c r="C29" s="6">
        <f>SUMIFS(เงินฝาก!E:E,เงินฝาก!B:B,"06/2569",เงินฝาก!D:D,"ออมทรัพย์")</f>
        <v>118000</v>
      </c>
      <c r="D29" s="6">
        <f>SUMIFS(เงินฝาก!E:E,เงินฝาก!B:B,"06/2569",เงินฝาก!D:D,"ประจำ")</f>
        <v>30500</v>
      </c>
      <c r="E29" s="6">
        <f t="shared" si="0"/>
        <v>148500</v>
      </c>
    </row>
    <row r="30" spans="2:5" x14ac:dyDescent="0.25">
      <c r="B30" s="3" t="s">
        <v>185</v>
      </c>
      <c r="C30" s="10">
        <f>SUM(C24:C29)</f>
        <v>560500</v>
      </c>
      <c r="D30" s="10">
        <f>SUM(D24:D29)</f>
        <v>181000</v>
      </c>
      <c r="E30" s="10">
        <f>SUM(E24:E29)</f>
        <v>741500</v>
      </c>
    </row>
    <row r="32" spans="2:5" x14ac:dyDescent="0.25">
      <c r="B32" s="3" t="s">
        <v>186</v>
      </c>
      <c r="E32" s="11">
        <f>SUMPRODUCT(MAX((สมาชิก!D2:D41="ครูชำนาญการพิเศษ")*สมาชิก!E2:E41))</f>
        <v>44500</v>
      </c>
    </row>
    <row r="33" spans="2:5" x14ac:dyDescent="0.25">
      <c r="B33" s="3" t="s">
        <v>187</v>
      </c>
      <c r="E33" s="2" t="str">
        <f>LOOKUP(2,1/((สมาชิก!D2:D41="ครูชำนาญการพิเศษ")*(สมาชิก!E2:E41=E32)),สมาชิก!B2:B41)</f>
        <v>ศิริพร คำภา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คำชี้แจง</vt:lpstr>
      <vt:lpstr>สมาชิก</vt:lpstr>
      <vt:lpstr>เงินฝาก</vt:lpstr>
      <vt:lpstr>เงินกู้</vt:lpstr>
      <vt:lpstr>แบบฝึกหัด</vt:lpstr>
      <vt:lpstr>เฉลย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Napat PHOBUTDEE</cp:lastModifiedBy>
  <dcterms:created xsi:type="dcterms:W3CDTF">2026-07-16T11:59:19Z</dcterms:created>
  <dcterms:modified xsi:type="dcterms:W3CDTF">2026-07-16T11:59:32Z</dcterms:modified>
</cp:coreProperties>
</file>